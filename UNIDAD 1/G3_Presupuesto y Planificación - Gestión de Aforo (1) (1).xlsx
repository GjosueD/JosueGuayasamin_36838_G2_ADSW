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esupuesto Integrado - Proyect" sheetId="1" r:id="rId5"/>
    <sheet state="visible" name="Recursos Humanos" sheetId="2" r:id="rId6"/>
    <sheet state="visible" name="Materiales y Gastos" sheetId="3" r:id="rId7"/>
    <sheet state="visible" name="Planificación" sheetId="4" r:id="rId8"/>
    <sheet state="visible" name="Costos" sheetId="5" r:id="rId9"/>
    <sheet state="visible" name="Resumen" sheetId="6" r:id="rId10"/>
  </sheets>
  <definedNames/>
  <calcPr/>
</workbook>
</file>

<file path=xl/sharedStrings.xml><?xml version="1.0" encoding="utf-8"?>
<sst xmlns="http://schemas.openxmlformats.org/spreadsheetml/2006/main" count="424" uniqueCount="182">
  <si>
    <t>Rol</t>
  </si>
  <si>
    <t>Integrante</t>
  </si>
  <si>
    <t>Salario Referencial (Mes)</t>
  </si>
  <si>
    <t>Horas Laborables (Mes)</t>
  </si>
  <si>
    <t>Tarifa por Hora (RH)</t>
  </si>
  <si>
    <t>Scrum Master</t>
  </si>
  <si>
    <t>Josué</t>
  </si>
  <si>
    <t>CALENDARIO DE ACTIVIDADES — PROYECTO GESTIÓN DE AFORO</t>
  </si>
  <si>
    <t>Equipo</t>
  </si>
  <si>
    <t>Salario Mensual</t>
  </si>
  <si>
    <t>Horas Mes</t>
  </si>
  <si>
    <t>Tarifa por Hora (TH)</t>
  </si>
  <si>
    <t>Tarifa por Hora Extra (THE)</t>
  </si>
  <si>
    <t>Tarifa Promedio Ponderada</t>
  </si>
  <si>
    <t>Valor estimado (USD)</t>
  </si>
  <si>
    <t>Vida útil (meses)</t>
  </si>
  <si>
    <t>Depreciación mensual</t>
  </si>
  <si>
    <t>Meses de uso</t>
  </si>
  <si>
    <t>Subtotal</t>
  </si>
  <si>
    <t>Concepto</t>
  </si>
  <si>
    <t>Valor</t>
  </si>
  <si>
    <t>Ing. de Requisitos</t>
  </si>
  <si>
    <t>Mateo</t>
  </si>
  <si>
    <t>Laptop Josué</t>
  </si>
  <si>
    <t>Proyecto Iron Body Gym G3 | 16 semanas | 06/04/2026 → 26/07/2026</t>
  </si>
  <si>
    <t>Damián</t>
  </si>
  <si>
    <t>Fase</t>
  </si>
  <si>
    <t>Actividad / Entregable</t>
  </si>
  <si>
    <t>Responsable</t>
  </si>
  <si>
    <t>S1</t>
  </si>
  <si>
    <t>S2</t>
  </si>
  <si>
    <t>S3</t>
  </si>
  <si>
    <t>S4</t>
  </si>
  <si>
    <t>S5</t>
  </si>
  <si>
    <t>S6</t>
  </si>
  <si>
    <t>Valor Referencial (Mes)</t>
  </si>
  <si>
    <t>S7</t>
  </si>
  <si>
    <t>Costo por Hora</t>
  </si>
  <si>
    <t>S8</t>
  </si>
  <si>
    <t>Depreciación Equipos (Promedio)</t>
  </si>
  <si>
    <t>S9</t>
  </si>
  <si>
    <t>S10</t>
  </si>
  <si>
    <t>S11</t>
  </si>
  <si>
    <t>S12</t>
  </si>
  <si>
    <t>S13</t>
  </si>
  <si>
    <t>S14</t>
  </si>
  <si>
    <t>S15</t>
  </si>
  <si>
    <t>S16</t>
  </si>
  <si>
    <t>Fechas →</t>
  </si>
  <si>
    <t>06-12 abr</t>
  </si>
  <si>
    <t>13-19 abr</t>
  </si>
  <si>
    <t>20-26 abr</t>
  </si>
  <si>
    <t>27 abr-03 may</t>
  </si>
  <si>
    <t>04-10 may</t>
  </si>
  <si>
    <t>11-17 may</t>
  </si>
  <si>
    <t>Servicios Básicos (Luz, Agua, Internet)</t>
  </si>
  <si>
    <t>18-24 may</t>
  </si>
  <si>
    <t>25-31 may</t>
  </si>
  <si>
    <t>01-07 jun</t>
  </si>
  <si>
    <t>08-14 jun</t>
  </si>
  <si>
    <t>15-21 jun</t>
  </si>
  <si>
    <t>22-28 jun</t>
  </si>
  <si>
    <t>29 jun-05 jul</t>
  </si>
  <si>
    <t>06-12 jul</t>
  </si>
  <si>
    <t>13-19 jul</t>
  </si>
  <si>
    <t>20-26 jul</t>
  </si>
  <si>
    <t>Fase 1</t>
  </si>
  <si>
    <t>Planificación de la Reunión Entrevista</t>
  </si>
  <si>
    <t>Laptop Mateo</t>
  </si>
  <si>
    <t>Josué/Damián</t>
  </si>
  <si>
    <t>Tarea / Entregable</t>
  </si>
  <si>
    <t>Horas</t>
  </si>
  <si>
    <t>Costo RH</t>
  </si>
  <si>
    <t>Costo Material</t>
  </si>
  <si>
    <t>█</t>
  </si>
  <si>
    <t>Gastos Operativos</t>
  </si>
  <si>
    <t>Costo Total</t>
  </si>
  <si>
    <t>Ingeniero de Requisitos</t>
  </si>
  <si>
    <t>Entrevista con el Gerente General</t>
  </si>
  <si>
    <t>Depreciación semanal</t>
  </si>
  <si>
    <t xml:space="preserve">Entrevsita al Gerente General </t>
  </si>
  <si>
    <t>Damián / Josué</t>
  </si>
  <si>
    <t>Josué/Damian</t>
  </si>
  <si>
    <t>Entrevsita al Entrenador</t>
  </si>
  <si>
    <t>Laptop Damián</t>
  </si>
  <si>
    <t xml:space="preserve">Entrevista al Recepcionista </t>
  </si>
  <si>
    <t>Depreciación diaria</t>
  </si>
  <si>
    <t>Trabajo por Día</t>
  </si>
  <si>
    <t xml:space="preserve">Generación de la Minuta entrevista  — Redacción </t>
  </si>
  <si>
    <t>Todos</t>
  </si>
  <si>
    <t>TOTAL DEPRECIACIÓN DE EQUIPOS</t>
  </si>
  <si>
    <t>Horas Normales (L,M,V)</t>
  </si>
  <si>
    <t>Planificación de las preguntas de la encuesta en Google Forms</t>
  </si>
  <si>
    <t>Horas Extras (M,J)</t>
  </si>
  <si>
    <t>Horas Extras (Sábado)</t>
  </si>
  <si>
    <t>Depreciación por hora</t>
  </si>
  <si>
    <t xml:space="preserve">Aplicación de encuesta a 45 usuarios de forma presencial </t>
  </si>
  <si>
    <t>Entrevista con el recepcionista</t>
  </si>
  <si>
    <t>Generación de informe de la encuesta</t>
  </si>
  <si>
    <t>Fase 2</t>
  </si>
  <si>
    <t>Entrevista con el entrenador</t>
  </si>
  <si>
    <t xml:space="preserve">Planificación de Árbol de Problemas </t>
  </si>
  <si>
    <t>Trabajo por Semana</t>
  </si>
  <si>
    <t>Días Normales (L,M,V)</t>
  </si>
  <si>
    <t>Árbol de problemas: 4 causas y 4 consecuencias</t>
  </si>
  <si>
    <t>Días Extras (M,J)</t>
  </si>
  <si>
    <t>Días Extras (Sábado)</t>
  </si>
  <si>
    <t>Documentación: Minuta Acta N° 001</t>
  </si>
  <si>
    <t>Horas Normales por Semana</t>
  </si>
  <si>
    <t>Horas Extras por Semana</t>
  </si>
  <si>
    <t xml:space="preserve">Planificación del Modelo Business Model Canvas </t>
  </si>
  <si>
    <t>Total de Horas por Semana</t>
  </si>
  <si>
    <t>Mateo/Damián</t>
  </si>
  <si>
    <t xml:space="preserve">Servicio por persona </t>
  </si>
  <si>
    <t>Consumo diario</t>
  </si>
  <si>
    <t>Consumo semanal</t>
  </si>
  <si>
    <t>Business Model Canvas — Gestión de Aforo</t>
  </si>
  <si>
    <t>Consumo mensual</t>
  </si>
  <si>
    <t>Costo diario</t>
  </si>
  <si>
    <t>Costo semanal</t>
  </si>
  <si>
    <t>Diseño y aplicación de Encuesta</t>
  </si>
  <si>
    <t>Costo mensual</t>
  </si>
  <si>
    <t>Diseño de la Solución</t>
  </si>
  <si>
    <t>Electricidad (kWh)</t>
  </si>
  <si>
    <t>Documentación: Informe de Encuesta</t>
  </si>
  <si>
    <t>Propuesta de Solución 1</t>
  </si>
  <si>
    <t>Desarrollo del Diagrama de casos de Uso de la primera Solución</t>
  </si>
  <si>
    <t>Definición del Problema (Árbol)</t>
  </si>
  <si>
    <t>Propuesta de Solución 2</t>
  </si>
  <si>
    <t>Desarrollo del Diagrama de casos de Uso de la segunda Solución</t>
  </si>
  <si>
    <t>Agua (m³)</t>
  </si>
  <si>
    <t>Modelo de Negocio Canvas (Actual)</t>
  </si>
  <si>
    <t>Josué / Mateo</t>
  </si>
  <si>
    <t>Fase 3</t>
  </si>
  <si>
    <t xml:space="preserve">Aprender a usar  la herramienta ReqView </t>
  </si>
  <si>
    <t>Trabajo por Semestre</t>
  </si>
  <si>
    <t>Internet</t>
  </si>
  <si>
    <t>Semanas por semestre</t>
  </si>
  <si>
    <t>Horas Normales por Semestre</t>
  </si>
  <si>
    <t>Horas Extras por Semestre</t>
  </si>
  <si>
    <t>Total de Horas por Semestre</t>
  </si>
  <si>
    <t>Redacción del Documento de Especificación de Requisitos de Software (ERS)</t>
  </si>
  <si>
    <t>Modelo de Negocio Canvas (Mejorado)</t>
  </si>
  <si>
    <t>Mateo / Damián</t>
  </si>
  <si>
    <t>Validación y Revisión  e Informe de Expertos</t>
  </si>
  <si>
    <t xml:space="preserve">Corregir los requisitos segun las obsveraciones de los expertos </t>
  </si>
  <si>
    <t>Alimentación</t>
  </si>
  <si>
    <t>Solución 1 - Nivel 0</t>
  </si>
  <si>
    <t>Fase 4</t>
  </si>
  <si>
    <t xml:space="preserve">Elaboración y corrección de las interfaces </t>
  </si>
  <si>
    <t>Elaboración y corrección de la base de datos</t>
  </si>
  <si>
    <t>Solución 1 - Nivel 1</t>
  </si>
  <si>
    <t>Telefonía</t>
  </si>
  <si>
    <t>Reunión de Validación Final con el cliente y promotor</t>
  </si>
  <si>
    <t>Total de horas en el semestre</t>
  </si>
  <si>
    <t/>
  </si>
  <si>
    <t>Estimación de costos por puntos de fución de la propuesta ganadora</t>
  </si>
  <si>
    <t>Solución 2 - Nivel 0</t>
  </si>
  <si>
    <t>Ajustes Finales  de la Línea Base de Requisitos</t>
  </si>
  <si>
    <t>Subtotal por persona</t>
  </si>
  <si>
    <t>Solución final - Integración</t>
  </si>
  <si>
    <t>Servicio por Equipo</t>
  </si>
  <si>
    <t>Monto</t>
  </si>
  <si>
    <t>Fase 1: Elicitación de Requisitos</t>
  </si>
  <si>
    <t>Fase 2: Análisis y Soluciones</t>
  </si>
  <si>
    <t>Presupuesto para Contingencias (10%)</t>
  </si>
  <si>
    <t>TOTAL DEL PROYECTO</t>
  </si>
  <si>
    <t>Subtotal por equipo</t>
  </si>
  <si>
    <t>Persona × hora</t>
  </si>
  <si>
    <t>Consumo × hora</t>
  </si>
  <si>
    <t>Costo × hora</t>
  </si>
  <si>
    <t>Subtotal por persona × hora</t>
  </si>
  <si>
    <t>RESUMEN DE COSTOS — PROYECTO GESTIÓN DE AFORO</t>
  </si>
  <si>
    <t>Horas Josué</t>
  </si>
  <si>
    <t>Horas Mateo</t>
  </si>
  <si>
    <t>Horas Damián</t>
  </si>
  <si>
    <t>Horas Totales</t>
  </si>
  <si>
    <t>sub Total</t>
  </si>
  <si>
    <t>Contingencia a los riesgos (10 %)</t>
  </si>
  <si>
    <t>Total  del 20% del proyecto</t>
  </si>
  <si>
    <t>Total proyecto 100%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</si>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</sst>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&quot;$&quot;#,##0.00"/>
    <numFmt numFmtId="166" formatCode="#,##0.##"/>
    <numFmt numFmtId="167" formatCode="#,##0.###"/>
  </numFmts>
  <fonts count="13">
    <font>
      <sz val="10.0"/>
      <color rgb="FF000000"/>
      <name val="Arial"/>
      <scheme val="minor"/>
    </font>
    <font>
      <color theme="1"/>
      <name val="Arial"/>
    </font>
    <font>
      <b/>
      <color rgb="FFFFFFFF"/>
      <name val="Montserrat"/>
    </font>
    <font>
      <b/>
      <sz val="12.0"/>
      <color rgb="FFFFFFFF"/>
      <name val="Montserrat"/>
    </font>
    <font>
      <b/>
      <color theme="1"/>
      <name val="Arial"/>
    </font>
    <font>
      <b/>
      <sz val="10.0"/>
      <color rgb="FFFFFFFF"/>
      <name val="Montserrat"/>
    </font>
    <font>
      <color theme="1"/>
      <name val="Roboto"/>
    </font>
    <font>
      <b/>
      <color theme="1"/>
      <name val="Montserrat"/>
    </font>
    <font>
      <sz val="10.0"/>
      <color theme="1"/>
      <name val="Roboto"/>
    </font>
    <font>
      <b/>
      <sz val="12.0"/>
      <color theme="1"/>
      <name val="Arial"/>
    </font>
    <font>
      <b/>
      <color rgb="FFFFFFFF"/>
      <name val="Arial"/>
    </font>
    <font>
      <b/>
      <color theme="1"/>
      <name val="Roboto"/>
    </font>
    <font>
      <color theme="1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3E5F90"/>
        <bgColor rgb="FF3E5F90"/>
      </patternFill>
    </fill>
    <fill>
      <patternFill patternType="solid">
        <fgColor rgb="FF4B5C92"/>
        <bgColor rgb="FF4B5C92"/>
      </patternFill>
    </fill>
    <fill>
      <patternFill patternType="solid">
        <fgColor rgb="FF33598C"/>
        <bgColor rgb="FF33598C"/>
      </patternFill>
    </fill>
    <fill>
      <patternFill patternType="solid">
        <fgColor rgb="FF435E91"/>
        <bgColor rgb="FF435E91"/>
      </patternFill>
    </fill>
    <fill>
      <patternFill patternType="solid">
        <fgColor rgb="FFEDEDF4"/>
        <bgColor rgb="FFEDEDF4"/>
      </patternFill>
    </fill>
    <fill>
      <patternFill patternType="solid">
        <fgColor rgb="FF3D5F90"/>
        <bgColor rgb="FF3D5F90"/>
      </patternFill>
    </fill>
    <fill>
      <patternFill patternType="solid">
        <fgColor rgb="FFE6E6F4"/>
        <bgColor rgb="FFE6E6F4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3" numFmtId="0" xfId="0" applyAlignment="1" applyFill="1" applyFont="1">
      <alignment horizontal="center" vertical="center"/>
    </xf>
    <xf borderId="0" fillId="4" fontId="2" numFmtId="0" xfId="0" applyFill="1" applyFont="1"/>
    <xf borderId="0" fillId="0" fontId="4" numFmtId="0" xfId="0" applyFont="1"/>
    <xf borderId="0" fillId="5" fontId="5" numFmtId="164" xfId="0" applyAlignment="1" applyFill="1" applyFont="1" applyNumberFormat="1">
      <alignment horizontal="center" vertical="center"/>
    </xf>
    <xf borderId="0" fillId="0" fontId="6" numFmtId="0" xfId="0" applyFont="1"/>
    <xf borderId="0" fillId="0" fontId="6" numFmtId="165" xfId="0" applyFont="1" applyNumberFormat="1"/>
    <xf borderId="0" fillId="6" fontId="7" numFmtId="0" xfId="0" applyAlignment="1" applyFill="1" applyFont="1">
      <alignment horizontal="center" vertical="center"/>
    </xf>
    <xf borderId="0" fillId="0" fontId="8" numFmtId="0" xfId="0" applyFont="1"/>
    <xf borderId="0" fillId="0" fontId="1" numFmtId="165" xfId="0" applyFont="1" applyNumberFormat="1"/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164" xfId="0" applyAlignment="1" applyFont="1" applyNumberFormat="1">
      <alignment horizontal="center"/>
    </xf>
    <xf borderId="0" fillId="0" fontId="9" numFmtId="0" xfId="0" applyFont="1"/>
    <xf borderId="0" fillId="2" fontId="2" numFmtId="4" xfId="0" applyFill="1" applyFont="1" applyNumberFormat="1"/>
    <xf borderId="0" fillId="7" fontId="10" numFmtId="4" xfId="0" applyFill="1" applyFont="1" applyNumberFormat="1"/>
    <xf borderId="0" fillId="0" fontId="1" numFmtId="4" xfId="0" applyFont="1" applyNumberFormat="1"/>
    <xf borderId="0" fillId="4" fontId="10" numFmtId="0" xfId="0" applyFill="1" applyFont="1"/>
    <xf borderId="0" fillId="0" fontId="1" numFmtId="166" xfId="0" applyFont="1" applyNumberFormat="1"/>
    <xf borderId="0" fillId="0" fontId="8" numFmtId="0" xfId="0" applyAlignment="1" applyFont="1">
      <alignment horizontal="center"/>
    </xf>
    <xf borderId="0" fillId="0" fontId="8" numFmtId="164" xfId="0" applyFont="1" applyNumberFormat="1"/>
    <xf borderId="0" fillId="0" fontId="4" numFmtId="4" xfId="0" applyFont="1" applyNumberFormat="1"/>
    <xf borderId="0" fillId="0" fontId="1" numFmtId="167" xfId="0" applyFont="1" applyNumberFormat="1"/>
    <xf borderId="0" fillId="6" fontId="7" numFmtId="0" xfId="0" applyAlignment="1" applyFill="1" applyFont="1">
      <alignment horizontal="left" vertical="center"/>
    </xf>
    <xf borderId="0" fillId="8" fontId="11" numFmtId="0" xfId="0" applyFill="1" applyFont="1"/>
    <xf borderId="0" fillId="6" fontId="6" numFmtId="0" xfId="0" applyAlignment="1" applyFill="1" applyFont="1">
      <alignment horizontal="left" vertical="center"/>
    </xf>
    <xf borderId="0" fillId="8" fontId="11" numFmtId="165" xfId="0" applyFill="1" applyFont="1" applyNumberFormat="1"/>
    <xf borderId="0" fillId="6" fontId="7" numFmtId="0" xfId="0" applyAlignment="1" applyFill="1" applyFont="1">
      <alignment horizontal="right" vertical="center"/>
    </xf>
    <xf borderId="0" fillId="6" fontId="12" numFmtId="165" xfId="0" applyAlignment="1" applyFill="1" applyFont="1" applyNumberFormat="1">
      <alignment horizontal="right" vertical="center"/>
    </xf>
    <xf borderId="0" fillId="6" fontId="7" numFmtId="165" xfId="0" applyAlignment="1" applyFill="1" applyFont="1" applyNumberFormat="1">
      <alignment horizontal="right" vertical="center"/>
    </xf>
    <xf borderId="0" fillId="0" fontId="11" numFmtId="0" xfId="0" applyFont="1"/>
    <xf borderId="0" fillId="8" fontId="11" numFmtId="0" xfId="0" applyFill="1" applyFont="1"/>
    <xf borderId="0" fillId="8" fontId="6" numFmtId="0" xfId="0" applyFill="1" applyFont="1"/>
    <xf borderId="0" fillId="8" fontId="11" numFmtId="165" xfId="0" applyFill="1" applyFont="1" applyNumberFormat="1"/>
    <xf borderId="0" fillId="6" fontId="12" numFmtId="0" xfId="0" applyAlignment="1" applyFill="1" applyFont="1">
      <alignment horizontal="left" vertical="center"/>
    </xf>
    <xf borderId="0" fillId="0" fontId="6" numFmtId="0" xfId="0" applyFont="1"/>
    <xf borderId="0" fillId="0" fontId="6" numFmtId="165" xfId="0" applyFont="1" applyNumberFormat="1"/>
    <xf borderId="0" fillId="8" fontId="6" numFmtId="0" xfId="0" applyFill="1" applyFont="1"/>
    <xf borderId="0" fillId="0" fontId="4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435E91"/>
          <bgColor rgb="FF435E91"/>
        </patternFill>
      </fill>
      <border/>
    </dxf>
  </dxfs>
  <tableStyles count="5">
    <tableStyle count="2" pivot="0" name="Recursos Humanos-style">
      <tableStyleElement dxfId="1" type="firstRowStripe"/>
      <tableStyleElement dxfId="2" type="secondRowStripe"/>
    </tableStyle>
    <tableStyle count="2" pivot="0" name="Planificación-style">
      <tableStyleElement dxfId="3" type="firstRowStripe"/>
      <tableStyleElement dxfId="2" type="secondRowStripe"/>
    </tableStyle>
    <tableStyle count="2" pivot="0" name="Materiales y Gastos-style">
      <tableStyleElement dxfId="1" type="firstRowStripe"/>
      <tableStyleElement dxfId="2" type="secondRowStripe"/>
    </tableStyle>
    <tableStyle count="2" pivot="0" name="Costos-style">
      <tableStyleElement dxfId="3" type="firstRowStripe"/>
      <tableStyleElement dxfId="2" type="secondRowStripe"/>
    </tableStyle>
    <tableStyle count="2" pivot="0" name="Resume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4" displayName="Table_2" name="Table_2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cursos Human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D4" displayName="Table_3" name="Table_3" id="2">
  <tableColumns count="4">
    <tableColumn name="Column1" id="1"/>
    <tableColumn name="Column2" id="2"/>
    <tableColumn name="Column3" id="3"/>
    <tableColumn name="Column4" id="4"/>
  </tableColumns>
  <tableStyleInfo name="Materiales y Gastos-style" showColumnStripes="0" showFirstColumn="1" showLastColumn="1" showRowStripes="1"/>
</table>
</file>

<file path=xl/tables/table3.xml><?xml version="1.0" encoding="utf-8"?>
<table xmlns="http://schemas.openxmlformats.org/spreadsheetml/2006/main" headerRowCount="0" ref="A5:H22" displayName="Table_1" name="Table_1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lanificación-style" showColumnStripes="0" showFirstColumn="1" showLastColumn="1" showRowStripes="1"/>
</table>
</file>

<file path=xl/tables/table4.xml><?xml version="1.0" encoding="utf-8"?>
<table xmlns="http://schemas.openxmlformats.org/spreadsheetml/2006/main" headerRowCount="0" ref="A4:K21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stos-style" showColumnStripes="0" showFirstColumn="1" showLastColumn="1" showRowStripes="1"/>
</table>
</file>

<file path=xl/tables/table5.xml><?xml version="1.0" encoding="utf-8"?>
<table xmlns="http://schemas.openxmlformats.org/spreadsheetml/2006/main" headerRowCount="0" ref="A2:B3" displayName="Table_5" name="Table_5" id="5">
  <tableColumns count="2">
    <tableColumn name="Column1" id="1"/>
    <tableColumn name="Column2" id="2"/>
  </tableColumns>
  <tableStyleInfo name="Resu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13"/>
    <col customWidth="1" min="3" max="3" width="21.0"/>
    <col customWidth="1" min="4" max="6" width="12.63"/>
  </cols>
  <sheetData>
    <row r="1" ht="15.75" customHeight="1">
      <c r="A1" s="1" t="str">
        <f>== PAGINA 1: RECURSOS HUMANOS Y TARIFAS ===</f>
        <v>#ERROR!</v>
      </c>
    </row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1" t="s">
        <v>5</v>
      </c>
      <c r="B3" s="1" t="s">
        <v>6</v>
      </c>
      <c r="C3" s="1">
        <v>750.0</v>
      </c>
      <c r="D3" s="1">
        <v>48.0</v>
      </c>
      <c r="E3" s="1">
        <f t="shared" ref="E3:E5" si="1">C3/D3</f>
        <v>15.625</v>
      </c>
    </row>
    <row r="4" ht="15.75" customHeight="1">
      <c r="A4" s="1" t="s">
        <v>21</v>
      </c>
      <c r="B4" s="1" t="s">
        <v>22</v>
      </c>
      <c r="C4" s="1">
        <v>600.0</v>
      </c>
      <c r="D4" s="1">
        <v>48.0</v>
      </c>
      <c r="E4" s="1">
        <f t="shared" si="1"/>
        <v>12.5</v>
      </c>
    </row>
    <row r="5" ht="15.75" customHeight="1">
      <c r="A5" s="1" t="s">
        <v>21</v>
      </c>
      <c r="B5" s="1" t="s">
        <v>25</v>
      </c>
      <c r="C5" s="1">
        <v>600.0</v>
      </c>
      <c r="D5" s="1">
        <v>48.0</v>
      </c>
      <c r="E5" s="1">
        <f t="shared" si="1"/>
        <v>12.5</v>
      </c>
    </row>
    <row r="6" ht="15.75" customHeight="1"/>
    <row r="7" ht="15.75" customHeight="1">
      <c r="A7" s="1" t="str">
        <f>== PAGINA 2: MATERIALES Y GASTOS OPERATIVOS ===</f>
        <v>#ERROR!</v>
      </c>
    </row>
    <row r="8" ht="15.75" customHeight="1">
      <c r="A8" s="1" t="s">
        <v>19</v>
      </c>
      <c r="B8" s="1" t="s">
        <v>35</v>
      </c>
      <c r="C8" s="1" t="s">
        <v>3</v>
      </c>
      <c r="D8" s="1" t="s">
        <v>37</v>
      </c>
    </row>
    <row r="9" ht="15.75" customHeight="1">
      <c r="A9" s="1" t="s">
        <v>39</v>
      </c>
      <c r="B9" s="1">
        <v>27.36</v>
      </c>
      <c r="C9" s="1">
        <v>48.0</v>
      </c>
      <c r="D9" s="1">
        <f t="shared" ref="D9:D10" si="2">B10/C10</f>
        <v>0.39</v>
      </c>
    </row>
    <row r="10" ht="15.75" customHeight="1">
      <c r="A10" s="1" t="s">
        <v>55</v>
      </c>
      <c r="B10" s="1">
        <v>18.72</v>
      </c>
      <c r="C10" s="1">
        <v>48.0</v>
      </c>
      <c r="D10" s="1" t="str">
        <f t="shared" si="2"/>
        <v>#DIV/0!</v>
      </c>
    </row>
    <row r="11" ht="15.75" customHeight="1"/>
    <row r="12" ht="15.75" customHeight="1">
      <c r="A12" s="1" t="str">
        <f>== PAGINA 3: ESTIMACION DE COSTOS(FASES 1 Y 2) ===</f>
        <v>#ERROR!</v>
      </c>
    </row>
    <row r="13" ht="15.75" customHeight="1">
      <c r="A13" s="1" t="s">
        <v>26</v>
      </c>
      <c r="B13" s="1" t="s">
        <v>70</v>
      </c>
      <c r="C13" s="1" t="s">
        <v>28</v>
      </c>
      <c r="D13" s="1" t="s">
        <v>71</v>
      </c>
      <c r="E13" s="1" t="s">
        <v>72</v>
      </c>
      <c r="F13" s="1" t="s">
        <v>73</v>
      </c>
      <c r="G13" s="1" t="s">
        <v>75</v>
      </c>
      <c r="H13" s="1" t="s">
        <v>76</v>
      </c>
    </row>
    <row r="14" ht="15.75" customHeight="1">
      <c r="A14" s="1" t="s">
        <v>66</v>
      </c>
      <c r="B14" s="1" t="s">
        <v>78</v>
      </c>
      <c r="C14" s="1" t="s">
        <v>81</v>
      </c>
      <c r="D14" s="1">
        <v>2.0</v>
      </c>
      <c r="E14" s="1">
        <f>D16*($E$3+$E$5)/2</f>
        <v>28.125</v>
      </c>
      <c r="F14" s="1" t="str">
        <f t="shared" ref="F14:F26" si="3">D16*$D$10</f>
        <v>#DIV/0!</v>
      </c>
      <c r="G14" s="1">
        <f t="shared" ref="G14:G26" si="4">D16*$D$11</f>
        <v>0</v>
      </c>
      <c r="H14" s="1" t="str">
        <f t="shared" ref="H14:H26" si="5">SUM(E16:G16)</f>
        <v>#DIV/0!</v>
      </c>
    </row>
    <row r="15" ht="15.75" customHeight="1">
      <c r="A15" s="1" t="s">
        <v>66</v>
      </c>
      <c r="B15" s="1" t="s">
        <v>97</v>
      </c>
      <c r="C15" s="1" t="s">
        <v>25</v>
      </c>
      <c r="D15" s="1">
        <v>1.0</v>
      </c>
      <c r="E15" s="1">
        <f t="shared" ref="E15:E16" si="6">D17*$E$5</f>
        <v>62.5</v>
      </c>
      <c r="F15" s="1" t="str">
        <f t="shared" si="3"/>
        <v>#DIV/0!</v>
      </c>
      <c r="G15" s="1">
        <f t="shared" si="4"/>
        <v>0</v>
      </c>
      <c r="H15" s="1" t="str">
        <f t="shared" si="5"/>
        <v>#DIV/0!</v>
      </c>
    </row>
    <row r="16" ht="15.75" customHeight="1">
      <c r="A16" s="1" t="s">
        <v>66</v>
      </c>
      <c r="B16" s="1" t="s">
        <v>100</v>
      </c>
      <c r="C16" s="1" t="s">
        <v>25</v>
      </c>
      <c r="D16" s="1">
        <v>2.0</v>
      </c>
      <c r="E16" s="1">
        <f t="shared" si="6"/>
        <v>50</v>
      </c>
      <c r="F16" s="1" t="str">
        <f t="shared" si="3"/>
        <v>#DIV/0!</v>
      </c>
      <c r="G16" s="1">
        <f t="shared" si="4"/>
        <v>0</v>
      </c>
      <c r="H16" s="1" t="str">
        <f t="shared" si="5"/>
        <v>#DIV/0!</v>
      </c>
    </row>
    <row r="17" ht="15.75" customHeight="1">
      <c r="A17" s="1" t="s">
        <v>66</v>
      </c>
      <c r="B17" s="1" t="s">
        <v>107</v>
      </c>
      <c r="C17" s="1" t="s">
        <v>8</v>
      </c>
      <c r="D17" s="1">
        <v>5.0</v>
      </c>
      <c r="E17" s="1">
        <f t="shared" ref="E17:E18" si="7">D19*AVERAGE($E$3:$E$5)</f>
        <v>40.625</v>
      </c>
      <c r="F17" s="1" t="str">
        <f t="shared" si="3"/>
        <v>#DIV/0!</v>
      </c>
      <c r="G17" s="1">
        <f t="shared" si="4"/>
        <v>0</v>
      </c>
      <c r="H17" s="1" t="str">
        <f t="shared" si="5"/>
        <v>#DIV/0!</v>
      </c>
    </row>
    <row r="18" ht="15.75" customHeight="1">
      <c r="A18" s="1" t="s">
        <v>66</v>
      </c>
      <c r="B18" s="1" t="s">
        <v>120</v>
      </c>
      <c r="C18" s="1" t="s">
        <v>8</v>
      </c>
      <c r="D18" s="1">
        <v>4.0</v>
      </c>
      <c r="E18" s="1">
        <f t="shared" si="7"/>
        <v>54.16666667</v>
      </c>
      <c r="F18" s="1" t="str">
        <f t="shared" si="3"/>
        <v>#DIV/0!</v>
      </c>
      <c r="G18" s="1">
        <f t="shared" si="4"/>
        <v>0</v>
      </c>
      <c r="H18" s="1" t="str">
        <f t="shared" si="5"/>
        <v>#DIV/0!</v>
      </c>
    </row>
    <row r="19" ht="15.75" customHeight="1">
      <c r="A19" s="1" t="s">
        <v>66</v>
      </c>
      <c r="B19" s="1" t="s">
        <v>124</v>
      </c>
      <c r="C19" s="1" t="s">
        <v>22</v>
      </c>
      <c r="D19" s="1">
        <v>3.0</v>
      </c>
      <c r="E19" s="1">
        <f>D21*$E$4</f>
        <v>50</v>
      </c>
      <c r="F19" s="1" t="str">
        <f t="shared" si="3"/>
        <v>#DIV/0!</v>
      </c>
      <c r="G19" s="1">
        <f t="shared" si="4"/>
        <v>0</v>
      </c>
      <c r="H19" s="1" t="str">
        <f t="shared" si="5"/>
        <v>#DIV/0!</v>
      </c>
    </row>
    <row r="20" ht="15.75" customHeight="1">
      <c r="A20" s="1" t="s">
        <v>99</v>
      </c>
      <c r="B20" s="1" t="s">
        <v>127</v>
      </c>
      <c r="C20" s="1" t="s">
        <v>6</v>
      </c>
      <c r="D20" s="1">
        <v>4.0</v>
      </c>
      <c r="E20" s="1">
        <f>D22*$E$3</f>
        <v>46.875</v>
      </c>
      <c r="F20" s="1" t="str">
        <f t="shared" si="3"/>
        <v>#DIV/0!</v>
      </c>
      <c r="G20" s="1">
        <f t="shared" si="4"/>
        <v>0</v>
      </c>
      <c r="H20" s="1" t="str">
        <f t="shared" si="5"/>
        <v>#DIV/0!</v>
      </c>
    </row>
    <row r="21" ht="15.75" customHeight="1">
      <c r="A21" s="1" t="s">
        <v>99</v>
      </c>
      <c r="B21" s="1" t="s">
        <v>131</v>
      </c>
      <c r="C21" s="1" t="s">
        <v>132</v>
      </c>
      <c r="D21" s="1">
        <v>4.0</v>
      </c>
      <c r="E21" s="1">
        <f>D23*($E$3+$E$4)/2</f>
        <v>126.5625</v>
      </c>
      <c r="F21" s="1" t="str">
        <f t="shared" si="3"/>
        <v>#DIV/0!</v>
      </c>
      <c r="G21" s="1">
        <f t="shared" si="4"/>
        <v>0</v>
      </c>
      <c r="H21" s="1" t="str">
        <f t="shared" si="5"/>
        <v>#DIV/0!</v>
      </c>
    </row>
    <row r="22" ht="15.75" customHeight="1">
      <c r="A22" s="1" t="s">
        <v>99</v>
      </c>
      <c r="B22" s="1" t="s">
        <v>142</v>
      </c>
      <c r="C22" s="1" t="s">
        <v>143</v>
      </c>
      <c r="D22" s="1">
        <v>3.0</v>
      </c>
      <c r="E22" s="1">
        <f>D24*($E$4+$E$5)/2</f>
        <v>62.5</v>
      </c>
      <c r="F22" s="1" t="str">
        <f t="shared" si="3"/>
        <v>#DIV/0!</v>
      </c>
      <c r="G22" s="1">
        <f t="shared" si="4"/>
        <v>0</v>
      </c>
      <c r="H22" s="1" t="str">
        <f t="shared" si="5"/>
        <v>#DIV/0!</v>
      </c>
    </row>
    <row r="23" ht="15.75" customHeight="1">
      <c r="A23" s="1" t="s">
        <v>99</v>
      </c>
      <c r="B23" s="1" t="s">
        <v>147</v>
      </c>
      <c r="C23" s="1" t="s">
        <v>8</v>
      </c>
      <c r="D23" s="1">
        <v>9.0</v>
      </c>
      <c r="E23" s="1">
        <f t="shared" ref="E23:E24" si="8">D25*AVERAGE($E$3:$E$5)</f>
        <v>108.3333333</v>
      </c>
      <c r="F23" s="1" t="str">
        <f t="shared" si="3"/>
        <v>#DIV/0!</v>
      </c>
      <c r="G23" s="1">
        <f t="shared" si="4"/>
        <v>0</v>
      </c>
      <c r="H23" s="1" t="str">
        <f t="shared" si="5"/>
        <v>#DIV/0!</v>
      </c>
    </row>
    <row r="24" ht="15.75" customHeight="1">
      <c r="A24" s="1" t="s">
        <v>99</v>
      </c>
      <c r="B24" s="1" t="s">
        <v>151</v>
      </c>
      <c r="C24" s="1" t="s">
        <v>8</v>
      </c>
      <c r="D24" s="1">
        <v>5.0</v>
      </c>
      <c r="E24" s="1">
        <f t="shared" si="8"/>
        <v>162.5</v>
      </c>
      <c r="F24" s="1" t="str">
        <f t="shared" si="3"/>
        <v>#DIV/0!</v>
      </c>
      <c r="G24" s="1">
        <f t="shared" si="4"/>
        <v>0</v>
      </c>
      <c r="H24" s="1" t="str">
        <f t="shared" si="5"/>
        <v>#DIV/0!</v>
      </c>
    </row>
    <row r="25" ht="15.75" customHeight="1">
      <c r="A25" s="1" t="s">
        <v>99</v>
      </c>
      <c r="B25" s="1" t="s">
        <v>157</v>
      </c>
      <c r="C25" s="1" t="s">
        <v>143</v>
      </c>
      <c r="D25" s="1">
        <v>8.0</v>
      </c>
      <c r="E25" s="1">
        <f>D27*($E$4+$E$5)/2</f>
        <v>0</v>
      </c>
      <c r="F25" s="1" t="str">
        <f t="shared" si="3"/>
        <v>#DIV/0!</v>
      </c>
      <c r="G25" s="1">
        <f t="shared" si="4"/>
        <v>0</v>
      </c>
      <c r="H25" s="1">
        <f t="shared" si="5"/>
        <v>0</v>
      </c>
    </row>
    <row r="26" ht="15.75" customHeight="1">
      <c r="A26" s="1" t="s">
        <v>99</v>
      </c>
      <c r="B26" s="1" t="s">
        <v>160</v>
      </c>
      <c r="C26" s="1" t="s">
        <v>8</v>
      </c>
      <c r="D26" s="1">
        <v>12.0</v>
      </c>
      <c r="E26" s="1">
        <f>D28*AVERAGE($E$3:$E$5)</f>
        <v>0</v>
      </c>
      <c r="F26" s="1" t="str">
        <f t="shared" si="3"/>
        <v>#DIV/0!</v>
      </c>
      <c r="G26" s="1">
        <f t="shared" si="4"/>
        <v>0</v>
      </c>
      <c r="H26" s="1">
        <f t="shared" si="5"/>
        <v>0</v>
      </c>
    </row>
    <row r="27" ht="15.75" customHeight="1"/>
    <row r="28" ht="15.75" customHeight="1">
      <c r="A28" s="1" t="str">
        <f>== PAGINA 4: RESUMEN DEL PROYECTO ===</f>
        <v>#ERROR!</v>
      </c>
    </row>
    <row r="29" ht="15.75" customHeight="1">
      <c r="A29" s="1" t="s">
        <v>19</v>
      </c>
      <c r="B29" s="1" t="s">
        <v>162</v>
      </c>
    </row>
    <row r="30" ht="15.75" customHeight="1">
      <c r="A30" s="1" t="s">
        <v>163</v>
      </c>
      <c r="B30" s="1" t="str">
        <f>SUM(H16:H21)</f>
        <v>#DIV/0!</v>
      </c>
    </row>
    <row r="31" ht="15.75" customHeight="1">
      <c r="A31" s="1" t="s">
        <v>164</v>
      </c>
      <c r="B31" s="1" t="str">
        <f>SUM(H22:H28)</f>
        <v>#DIV/0!</v>
      </c>
    </row>
    <row r="32" ht="15.75" customHeight="1">
      <c r="A32" s="1" t="s">
        <v>165</v>
      </c>
      <c r="B32" s="1" t="str">
        <f>(B32+B33)*0.1</f>
        <v>#REF!</v>
      </c>
    </row>
    <row r="33" ht="15.75" customHeight="1">
      <c r="A33" s="1" t="s">
        <v>166</v>
      </c>
      <c r="B33" s="1" t="str">
        <f>SUM(B32:B34)</f>
        <v>#REF!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0.25"/>
    <col customWidth="1" min="3" max="3" width="27.88"/>
    <col customWidth="1" min="4" max="4" width="25.75"/>
    <col customWidth="1" min="5" max="5" width="25.25"/>
    <col customWidth="1" min="6" max="6" width="28.13"/>
    <col customWidth="1" min="7" max="7" width="24.38"/>
  </cols>
  <sheetData>
    <row r="1" ht="15.75" customHeight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</row>
    <row r="2" ht="15.75" customHeight="1">
      <c r="A2" s="7" t="s">
        <v>5</v>
      </c>
      <c r="B2" s="7" t="s">
        <v>6</v>
      </c>
      <c r="C2" s="8">
        <v>750.0</v>
      </c>
      <c r="D2" s="7">
        <v>60.0</v>
      </c>
      <c r="E2" s="8">
        <f t="shared" ref="E2:E4" si="1">IFERROR(C2/D2, 0)</f>
        <v>12.5</v>
      </c>
      <c r="F2" s="8">
        <f t="shared" ref="F2:F4" si="2">E2*1.5</f>
        <v>18.75</v>
      </c>
      <c r="G2" s="8">
        <f t="shared" ref="G2:G4" si="3">(E2*6 + E2*1.5*6 + E2*2*3) / 15</f>
        <v>17.5</v>
      </c>
    </row>
    <row r="3" ht="15.75" customHeight="1">
      <c r="A3" s="7" t="s">
        <v>77</v>
      </c>
      <c r="B3" s="7" t="s">
        <v>22</v>
      </c>
      <c r="C3" s="8">
        <v>600.0</v>
      </c>
      <c r="D3" s="7">
        <v>60.0</v>
      </c>
      <c r="E3" s="8">
        <f t="shared" si="1"/>
        <v>10</v>
      </c>
      <c r="F3" s="8">
        <f t="shared" si="2"/>
        <v>15</v>
      </c>
      <c r="G3" s="8">
        <f t="shared" si="3"/>
        <v>14</v>
      </c>
    </row>
    <row r="4" ht="15.75" customHeight="1">
      <c r="A4" s="7" t="s">
        <v>77</v>
      </c>
      <c r="B4" s="7" t="s">
        <v>25</v>
      </c>
      <c r="C4" s="8">
        <v>600.0</v>
      </c>
      <c r="D4" s="7">
        <v>60.0</v>
      </c>
      <c r="E4" s="8">
        <f t="shared" si="1"/>
        <v>10</v>
      </c>
      <c r="F4" s="8">
        <f t="shared" si="2"/>
        <v>15</v>
      </c>
      <c r="G4" s="8">
        <f t="shared" si="3"/>
        <v>14</v>
      </c>
    </row>
    <row r="5" ht="15.75" customHeight="1"/>
    <row r="6" ht="15.75" customHeight="1">
      <c r="A6" s="15" t="s">
        <v>87</v>
      </c>
      <c r="E6" s="15"/>
    </row>
    <row r="7" ht="15.75" customHeight="1">
      <c r="A7" s="2" t="s">
        <v>0</v>
      </c>
      <c r="B7" s="2" t="s">
        <v>1</v>
      </c>
      <c r="C7" s="16" t="s">
        <v>91</v>
      </c>
      <c r="D7" s="16" t="s">
        <v>93</v>
      </c>
      <c r="E7" s="17" t="s">
        <v>94</v>
      </c>
      <c r="F7" s="18"/>
      <c r="I7" s="1"/>
    </row>
    <row r="8" ht="15.75" customHeight="1">
      <c r="A8" s="1" t="s">
        <v>5</v>
      </c>
      <c r="B8" s="1" t="s">
        <v>6</v>
      </c>
      <c r="C8" s="18">
        <v>2.0</v>
      </c>
      <c r="D8" s="18">
        <v>3.0</v>
      </c>
      <c r="E8" s="18">
        <v>3.0</v>
      </c>
      <c r="F8" s="18"/>
    </row>
    <row r="9" ht="15.75" customHeight="1">
      <c r="A9" s="1" t="s">
        <v>77</v>
      </c>
      <c r="B9" s="1" t="s">
        <v>22</v>
      </c>
      <c r="C9" s="18">
        <v>2.0</v>
      </c>
      <c r="D9" s="18">
        <v>3.0</v>
      </c>
      <c r="E9" s="18">
        <v>3.0</v>
      </c>
      <c r="F9" s="18"/>
    </row>
    <row r="10" ht="15.75" customHeight="1">
      <c r="A10" s="1" t="s">
        <v>77</v>
      </c>
      <c r="B10" s="1" t="s">
        <v>25</v>
      </c>
      <c r="C10" s="18">
        <v>2.0</v>
      </c>
      <c r="D10" s="18">
        <v>3.0</v>
      </c>
      <c r="E10" s="18">
        <v>3.0</v>
      </c>
      <c r="F10" s="18"/>
    </row>
    <row r="11" ht="15.75" customHeight="1">
      <c r="C11" s="18"/>
      <c r="D11" s="18"/>
      <c r="E11" s="18"/>
      <c r="F11" s="18"/>
    </row>
    <row r="12" ht="15.75" customHeight="1">
      <c r="A12" s="15" t="s">
        <v>102</v>
      </c>
      <c r="E12" s="15"/>
    </row>
    <row r="13" ht="15.75" customHeight="1">
      <c r="A13" s="2" t="s">
        <v>0</v>
      </c>
      <c r="B13" s="2" t="s">
        <v>1</v>
      </c>
      <c r="C13" s="2" t="s">
        <v>103</v>
      </c>
      <c r="D13" s="2" t="s">
        <v>105</v>
      </c>
      <c r="E13" s="2" t="s">
        <v>106</v>
      </c>
      <c r="F13" s="2" t="s">
        <v>108</v>
      </c>
      <c r="G13" s="5" t="s">
        <v>109</v>
      </c>
      <c r="H13" s="5" t="s">
        <v>111</v>
      </c>
    </row>
    <row r="14" ht="15.75" customHeight="1">
      <c r="A14" s="1" t="s">
        <v>5</v>
      </c>
      <c r="B14" s="1" t="s">
        <v>6</v>
      </c>
      <c r="C14" s="18">
        <v>3.0</v>
      </c>
      <c r="D14" s="18">
        <v>2.0</v>
      </c>
      <c r="E14" s="18">
        <v>1.0</v>
      </c>
      <c r="F14" s="18">
        <f t="shared" ref="F14:F16" si="4">C14*C8</f>
        <v>6</v>
      </c>
      <c r="G14" s="1">
        <f t="shared" ref="G14:G16" si="5">D14*D8 + E14*E8</f>
        <v>9</v>
      </c>
      <c r="H14" s="18">
        <f t="shared" ref="H14:H16" si="6">F14+G14</f>
        <v>15</v>
      </c>
    </row>
    <row r="15" ht="15.75" customHeight="1">
      <c r="A15" s="1" t="s">
        <v>77</v>
      </c>
      <c r="B15" s="1" t="s">
        <v>22</v>
      </c>
      <c r="C15" s="18">
        <v>3.0</v>
      </c>
      <c r="D15" s="18">
        <v>2.0</v>
      </c>
      <c r="E15" s="18">
        <v>1.0</v>
      </c>
      <c r="F15" s="18">
        <f t="shared" si="4"/>
        <v>6</v>
      </c>
      <c r="G15" s="1">
        <f t="shared" si="5"/>
        <v>9</v>
      </c>
      <c r="H15" s="18">
        <f t="shared" si="6"/>
        <v>15</v>
      </c>
    </row>
    <row r="16" ht="15.75" customHeight="1">
      <c r="A16" s="1" t="s">
        <v>77</v>
      </c>
      <c r="B16" s="1" t="s">
        <v>25</v>
      </c>
      <c r="C16" s="18">
        <v>3.0</v>
      </c>
      <c r="D16" s="18">
        <v>2.0</v>
      </c>
      <c r="E16" s="18">
        <v>1.0</v>
      </c>
      <c r="F16" s="18">
        <f t="shared" si="4"/>
        <v>6</v>
      </c>
      <c r="G16" s="1">
        <f t="shared" si="5"/>
        <v>9</v>
      </c>
      <c r="H16" s="18">
        <f t="shared" si="6"/>
        <v>15</v>
      </c>
    </row>
    <row r="17" ht="15.75" customHeight="1">
      <c r="C17" s="18"/>
      <c r="D17" s="18"/>
      <c r="E17" s="18"/>
      <c r="F17" s="18"/>
    </row>
    <row r="18" ht="15.75" customHeight="1">
      <c r="A18" s="15" t="s">
        <v>135</v>
      </c>
    </row>
    <row r="19" ht="15.75" customHeight="1">
      <c r="A19" s="2" t="s">
        <v>0</v>
      </c>
      <c r="B19" s="2" t="s">
        <v>1</v>
      </c>
      <c r="C19" s="2" t="s">
        <v>137</v>
      </c>
      <c r="D19" s="2" t="s">
        <v>138</v>
      </c>
      <c r="E19" s="2" t="s">
        <v>139</v>
      </c>
      <c r="F19" s="5" t="s">
        <v>140</v>
      </c>
    </row>
    <row r="20" ht="15.75" customHeight="1">
      <c r="A20" s="1" t="s">
        <v>5</v>
      </c>
      <c r="B20" s="1" t="s">
        <v>6</v>
      </c>
      <c r="C20" s="18">
        <v>16.0</v>
      </c>
      <c r="D20" s="18">
        <f t="shared" ref="D20:D22" si="7">F14*C20</f>
        <v>96</v>
      </c>
      <c r="E20" s="18">
        <f t="shared" ref="E20:E22" si="8">G14*C20</f>
        <v>144</v>
      </c>
      <c r="F20" s="18">
        <f t="shared" ref="F20:F22" si="9">D20+E20</f>
        <v>240</v>
      </c>
    </row>
    <row r="21" ht="15.75" customHeight="1">
      <c r="A21" s="1" t="s">
        <v>77</v>
      </c>
      <c r="B21" s="1" t="s">
        <v>22</v>
      </c>
      <c r="C21" s="18">
        <v>16.0</v>
      </c>
      <c r="D21" s="18">
        <f t="shared" si="7"/>
        <v>96</v>
      </c>
      <c r="E21" s="18">
        <f t="shared" si="8"/>
        <v>144</v>
      </c>
      <c r="F21" s="18">
        <f t="shared" si="9"/>
        <v>240</v>
      </c>
    </row>
    <row r="22" ht="15.75" customHeight="1">
      <c r="A22" s="1" t="s">
        <v>77</v>
      </c>
      <c r="B22" s="1" t="s">
        <v>25</v>
      </c>
      <c r="C22" s="18">
        <v>16.0</v>
      </c>
      <c r="D22" s="18">
        <f t="shared" si="7"/>
        <v>96</v>
      </c>
      <c r="E22" s="18">
        <f t="shared" si="8"/>
        <v>144</v>
      </c>
      <c r="F22" s="18">
        <f t="shared" si="9"/>
        <v>240</v>
      </c>
    </row>
    <row r="23" ht="15.75" customHeight="1">
      <c r="A23" s="1" t="s">
        <v>154</v>
      </c>
      <c r="E23" s="1" t="s">
        <v>155</v>
      </c>
      <c r="F23" s="23">
        <f>SUM(F20:F22)</f>
        <v>720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6:D6"/>
    <mergeCell ref="A12:D12"/>
    <mergeCell ref="A18:E18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0.75"/>
    <col customWidth="1" min="3" max="3" width="25.0"/>
    <col customWidth="1" min="4" max="4" width="19.5"/>
    <col customWidth="1" min="5" max="5" width="16.25"/>
    <col customWidth="1" min="6" max="6" width="26.75"/>
    <col customWidth="1" min="7" max="7" width="20.0"/>
    <col customWidth="1" min="8" max="8" width="17.88"/>
  </cols>
  <sheetData>
    <row r="1" ht="15.75" customHeight="1">
      <c r="A1" s="4" t="s">
        <v>8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H1" s="4" t="s">
        <v>19</v>
      </c>
      <c r="I1" s="4" t="s">
        <v>20</v>
      </c>
    </row>
    <row r="2" ht="15.75" customHeight="1">
      <c r="A2" s="7" t="s">
        <v>23</v>
      </c>
      <c r="B2" s="8">
        <v>1200.0</v>
      </c>
      <c r="C2" s="7">
        <v>36.0</v>
      </c>
      <c r="D2" s="8">
        <f t="shared" ref="D2:D4" si="1">B2/C2</f>
        <v>33.33333333</v>
      </c>
      <c r="E2" s="1">
        <v>4.0</v>
      </c>
      <c r="F2" s="11">
        <f t="shared" ref="F2:F4" si="2">D2*E2</f>
        <v>133.3333333</v>
      </c>
      <c r="H2" s="1" t="s">
        <v>16</v>
      </c>
      <c r="I2" s="11">
        <f>SUM(D2:D4)</f>
        <v>105.5555556</v>
      </c>
    </row>
    <row r="3" ht="15.75" customHeight="1">
      <c r="A3" s="7" t="s">
        <v>68</v>
      </c>
      <c r="B3" s="8">
        <v>1600.0</v>
      </c>
      <c r="C3" s="7">
        <v>36.0</v>
      </c>
      <c r="D3" s="8">
        <f t="shared" si="1"/>
        <v>44.44444444</v>
      </c>
      <c r="E3" s="1">
        <v>4.0</v>
      </c>
      <c r="F3" s="11">
        <f t="shared" si="2"/>
        <v>177.7777778</v>
      </c>
      <c r="H3" s="1" t="s">
        <v>79</v>
      </c>
      <c r="I3" s="11">
        <f>I2/4</f>
        <v>26.38888889</v>
      </c>
    </row>
    <row r="4" ht="15.75" customHeight="1">
      <c r="A4" s="7" t="s">
        <v>84</v>
      </c>
      <c r="B4" s="8">
        <v>1000.0</v>
      </c>
      <c r="C4" s="7">
        <v>36.0</v>
      </c>
      <c r="D4" s="8">
        <f t="shared" si="1"/>
        <v>27.77777778</v>
      </c>
      <c r="E4" s="1">
        <v>4.0</v>
      </c>
      <c r="F4" s="11">
        <f t="shared" si="2"/>
        <v>111.1111111</v>
      </c>
      <c r="H4" s="1" t="s">
        <v>86</v>
      </c>
      <c r="I4" s="11">
        <f>I3/3</f>
        <v>8.796296296</v>
      </c>
    </row>
    <row r="5" ht="15.75" customHeight="1">
      <c r="A5" s="1" t="s">
        <v>90</v>
      </c>
      <c r="F5" s="11">
        <f>SUM(F2:F4)</f>
        <v>422.2222222</v>
      </c>
      <c r="H5" s="1" t="s">
        <v>95</v>
      </c>
      <c r="I5" s="11">
        <f>I4/4</f>
        <v>2.199074074</v>
      </c>
    </row>
    <row r="6" ht="15.75" customHeight="1">
      <c r="C6" s="11"/>
      <c r="D6" s="11"/>
      <c r="E6" s="11"/>
      <c r="F6" s="11"/>
      <c r="G6" s="11"/>
    </row>
    <row r="7" ht="15.75" customHeight="1">
      <c r="C7" s="11"/>
      <c r="D7" s="11"/>
      <c r="E7" s="11"/>
      <c r="F7" s="11"/>
      <c r="G7" s="11"/>
    </row>
    <row r="8" ht="15.75" customHeight="1">
      <c r="C8" s="11"/>
      <c r="D8" s="11"/>
      <c r="E8" s="11"/>
      <c r="F8" s="11"/>
      <c r="G8" s="11"/>
    </row>
    <row r="9" ht="15.75" customHeight="1">
      <c r="A9" s="4" t="s">
        <v>113</v>
      </c>
      <c r="B9" s="4" t="s">
        <v>114</v>
      </c>
      <c r="C9" s="4" t="s">
        <v>115</v>
      </c>
      <c r="D9" s="4" t="s">
        <v>117</v>
      </c>
      <c r="E9" s="4" t="s">
        <v>118</v>
      </c>
      <c r="F9" s="4" t="s">
        <v>119</v>
      </c>
      <c r="G9" s="19" t="s">
        <v>121</v>
      </c>
    </row>
    <row r="10" ht="15.75" customHeight="1">
      <c r="A10" s="1" t="s">
        <v>123</v>
      </c>
      <c r="B10" s="20">
        <v>6.0</v>
      </c>
      <c r="C10" s="20">
        <f t="shared" ref="C10:C14" si="3">B10*6</f>
        <v>36</v>
      </c>
      <c r="D10" s="20">
        <f t="shared" ref="D10:D11" si="4">C10*4</f>
        <v>144</v>
      </c>
      <c r="E10" s="11">
        <v>0.6</v>
      </c>
      <c r="F10" s="11">
        <f t="shared" ref="F10:F14" si="5">E10*6</f>
        <v>3.6</v>
      </c>
      <c r="G10" s="11">
        <f t="shared" ref="G10:G11" si="6">F10*4</f>
        <v>14.4</v>
      </c>
    </row>
    <row r="11" ht="15.75" customHeight="1">
      <c r="A11" s="1" t="s">
        <v>130</v>
      </c>
      <c r="B11" s="20">
        <v>0.06</v>
      </c>
      <c r="C11" s="20">
        <f t="shared" si="3"/>
        <v>0.36</v>
      </c>
      <c r="D11" s="20">
        <f t="shared" si="4"/>
        <v>1.44</v>
      </c>
      <c r="E11" s="11">
        <v>0.18</v>
      </c>
      <c r="F11" s="11">
        <f t="shared" si="5"/>
        <v>1.08</v>
      </c>
      <c r="G11" s="11">
        <f t="shared" si="6"/>
        <v>4.32</v>
      </c>
    </row>
    <row r="12" ht="15.75" customHeight="1">
      <c r="A12" s="1" t="s">
        <v>136</v>
      </c>
      <c r="B12" s="20">
        <v>0.13</v>
      </c>
      <c r="C12" s="20">
        <f t="shared" si="3"/>
        <v>0.78</v>
      </c>
      <c r="D12" s="20">
        <f>C12*4.33</f>
        <v>3.3774</v>
      </c>
      <c r="E12" s="11">
        <v>0.75</v>
      </c>
      <c r="F12" s="11">
        <f t="shared" si="5"/>
        <v>4.5</v>
      </c>
      <c r="G12" s="11">
        <f>E12*30</f>
        <v>22.5</v>
      </c>
    </row>
    <row r="13" ht="15.75" customHeight="1">
      <c r="A13" s="1" t="s">
        <v>146</v>
      </c>
      <c r="B13" s="20">
        <v>1.0</v>
      </c>
      <c r="C13" s="20">
        <f t="shared" si="3"/>
        <v>6</v>
      </c>
      <c r="D13" s="20">
        <f>C13*4</f>
        <v>24</v>
      </c>
      <c r="E13" s="11">
        <v>2.5</v>
      </c>
      <c r="F13" s="11">
        <f t="shared" si="5"/>
        <v>15</v>
      </c>
      <c r="G13" s="11">
        <f>F13*4</f>
        <v>60</v>
      </c>
    </row>
    <row r="14" ht="15.75" customHeight="1">
      <c r="A14" s="1" t="s">
        <v>152</v>
      </c>
      <c r="B14" s="20">
        <v>1.0</v>
      </c>
      <c r="C14" s="20">
        <f t="shared" si="3"/>
        <v>6</v>
      </c>
      <c r="D14" s="20">
        <f>B14*30</f>
        <v>30</v>
      </c>
      <c r="E14" s="11">
        <v>0.5</v>
      </c>
      <c r="F14" s="11">
        <f t="shared" si="5"/>
        <v>3</v>
      </c>
      <c r="G14" s="11">
        <f>E14*30</f>
        <v>15</v>
      </c>
    </row>
    <row r="15" ht="15.75" customHeight="1">
      <c r="A15" s="1" t="s">
        <v>159</v>
      </c>
      <c r="B15" s="20"/>
      <c r="C15" s="20"/>
      <c r="D15" s="20"/>
      <c r="E15" s="11">
        <f t="shared" ref="E15:G15" si="7">SUM(E10:E14)</f>
        <v>4.53</v>
      </c>
      <c r="F15" s="11">
        <f t="shared" si="7"/>
        <v>27.18</v>
      </c>
      <c r="G15" s="11">
        <f t="shared" si="7"/>
        <v>116.22</v>
      </c>
    </row>
    <row r="16" ht="15.75" customHeight="1">
      <c r="C16" s="11"/>
      <c r="D16" s="11"/>
      <c r="E16" s="11"/>
      <c r="F16" s="11"/>
      <c r="G16" s="11"/>
    </row>
    <row r="17" ht="15.75" customHeight="1">
      <c r="A17" s="4" t="s">
        <v>161</v>
      </c>
      <c r="B17" s="4" t="s">
        <v>114</v>
      </c>
      <c r="C17" s="4" t="s">
        <v>115</v>
      </c>
      <c r="D17" s="4" t="s">
        <v>117</v>
      </c>
      <c r="E17" s="4" t="s">
        <v>118</v>
      </c>
      <c r="F17" s="4" t="s">
        <v>119</v>
      </c>
      <c r="G17" s="19" t="s">
        <v>121</v>
      </c>
    </row>
    <row r="18" ht="15.75" customHeight="1">
      <c r="A18" s="1" t="s">
        <v>123</v>
      </c>
      <c r="B18" s="20">
        <f t="shared" ref="B18:B22" si="9">B10*3</f>
        <v>18</v>
      </c>
      <c r="C18" s="20">
        <f t="shared" ref="C18:C20" si="10">B18*6</f>
        <v>108</v>
      </c>
      <c r="D18" s="20">
        <f t="shared" ref="D18:G18" si="8">D10*3</f>
        <v>432</v>
      </c>
      <c r="E18" s="11">
        <f t="shared" si="8"/>
        <v>1.8</v>
      </c>
      <c r="F18" s="11">
        <f t="shared" si="8"/>
        <v>10.8</v>
      </c>
      <c r="G18" s="11">
        <f t="shared" si="8"/>
        <v>43.2</v>
      </c>
    </row>
    <row r="19" ht="15.75" customHeight="1">
      <c r="A19" s="1" t="s">
        <v>130</v>
      </c>
      <c r="B19" s="20">
        <f t="shared" si="9"/>
        <v>0.18</v>
      </c>
      <c r="C19" s="20">
        <f t="shared" si="10"/>
        <v>1.08</v>
      </c>
      <c r="D19" s="20">
        <f t="shared" ref="D19:G19" si="11">D11*3</f>
        <v>4.32</v>
      </c>
      <c r="E19" s="11">
        <f t="shared" si="11"/>
        <v>0.54</v>
      </c>
      <c r="F19" s="11">
        <f t="shared" si="11"/>
        <v>3.24</v>
      </c>
      <c r="G19" s="11">
        <f t="shared" si="11"/>
        <v>12.96</v>
      </c>
    </row>
    <row r="20" ht="15.75" customHeight="1">
      <c r="A20" s="1" t="s">
        <v>136</v>
      </c>
      <c r="B20" s="20">
        <f t="shared" si="9"/>
        <v>0.39</v>
      </c>
      <c r="C20" s="20">
        <f t="shared" si="10"/>
        <v>2.34</v>
      </c>
      <c r="D20" s="20">
        <f t="shared" ref="D20:G20" si="12">D12*3</f>
        <v>10.1322</v>
      </c>
      <c r="E20" s="11">
        <f t="shared" si="12"/>
        <v>2.25</v>
      </c>
      <c r="F20" s="11">
        <f t="shared" si="12"/>
        <v>13.5</v>
      </c>
      <c r="G20" s="11">
        <f t="shared" si="12"/>
        <v>67.5</v>
      </c>
    </row>
    <row r="21" ht="15.75" customHeight="1">
      <c r="A21" s="1" t="s">
        <v>146</v>
      </c>
      <c r="B21" s="20">
        <f t="shared" si="9"/>
        <v>3</v>
      </c>
      <c r="C21" s="20">
        <f t="shared" ref="C21:G21" si="13">C13*3</f>
        <v>18</v>
      </c>
      <c r="D21" s="20">
        <f t="shared" si="13"/>
        <v>72</v>
      </c>
      <c r="E21" s="11">
        <f t="shared" si="13"/>
        <v>7.5</v>
      </c>
      <c r="F21" s="11">
        <f t="shared" si="13"/>
        <v>45</v>
      </c>
      <c r="G21" s="11">
        <f t="shared" si="13"/>
        <v>180</v>
      </c>
    </row>
    <row r="22" ht="15.75" customHeight="1">
      <c r="A22" s="1" t="s">
        <v>152</v>
      </c>
      <c r="B22" s="20">
        <f t="shared" si="9"/>
        <v>3</v>
      </c>
      <c r="C22" s="20">
        <f t="shared" ref="C22:G22" si="14">C14*3</f>
        <v>18</v>
      </c>
      <c r="D22" s="20">
        <f t="shared" si="14"/>
        <v>90</v>
      </c>
      <c r="E22" s="11">
        <f t="shared" si="14"/>
        <v>1.5</v>
      </c>
      <c r="F22" s="11">
        <f t="shared" si="14"/>
        <v>9</v>
      </c>
      <c r="G22" s="11">
        <f t="shared" si="14"/>
        <v>45</v>
      </c>
    </row>
    <row r="23" ht="15.75" customHeight="1">
      <c r="A23" s="1" t="s">
        <v>167</v>
      </c>
      <c r="B23" s="20"/>
      <c r="C23" s="20"/>
      <c r="D23" s="20"/>
      <c r="E23" s="11">
        <f t="shared" ref="E23:G23" si="15">SUM(E18:E22)</f>
        <v>13.59</v>
      </c>
      <c r="F23" s="11">
        <f t="shared" si="15"/>
        <v>81.54</v>
      </c>
      <c r="G23" s="11">
        <f t="shared" si="15"/>
        <v>348.66</v>
      </c>
    </row>
    <row r="24" ht="15.75" customHeight="1"/>
    <row r="25" ht="15.75" customHeight="1">
      <c r="A25" s="4" t="s">
        <v>168</v>
      </c>
      <c r="B25" s="4" t="s">
        <v>169</v>
      </c>
      <c r="C25" s="4" t="s">
        <v>170</v>
      </c>
    </row>
    <row r="26" ht="15.75" customHeight="1">
      <c r="A26" s="1" t="s">
        <v>123</v>
      </c>
      <c r="B26" s="24">
        <f t="shared" ref="B26:B30" si="16">B10/5</f>
        <v>1.2</v>
      </c>
      <c r="C26" s="11">
        <f t="shared" ref="C26:C30" si="17">E10/5</f>
        <v>0.12</v>
      </c>
    </row>
    <row r="27" ht="15.75" customHeight="1">
      <c r="A27" s="1" t="s">
        <v>130</v>
      </c>
      <c r="B27" s="24">
        <f t="shared" si="16"/>
        <v>0.012</v>
      </c>
      <c r="C27" s="11">
        <f t="shared" si="17"/>
        <v>0.036</v>
      </c>
    </row>
    <row r="28" ht="15.75" customHeight="1">
      <c r="A28" s="1" t="s">
        <v>136</v>
      </c>
      <c r="B28" s="24">
        <f t="shared" si="16"/>
        <v>0.026</v>
      </c>
      <c r="C28" s="11">
        <f t="shared" si="17"/>
        <v>0.15</v>
      </c>
    </row>
    <row r="29" ht="15.75" customHeight="1">
      <c r="A29" s="1" t="s">
        <v>146</v>
      </c>
      <c r="B29" s="24">
        <f t="shared" si="16"/>
        <v>0.2</v>
      </c>
      <c r="C29" s="11">
        <f t="shared" si="17"/>
        <v>0.5</v>
      </c>
    </row>
    <row r="30" ht="15.75" customHeight="1">
      <c r="A30" s="1" t="s">
        <v>152</v>
      </c>
      <c r="B30" s="24">
        <f t="shared" si="16"/>
        <v>0.2</v>
      </c>
      <c r="C30" s="11">
        <f t="shared" si="17"/>
        <v>0.1</v>
      </c>
    </row>
    <row r="31" ht="15.75" customHeight="1">
      <c r="A31" s="1" t="s">
        <v>171</v>
      </c>
      <c r="B31" s="24"/>
      <c r="C31" s="11">
        <f>SUM(C26:C30)</f>
        <v>0.906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13"/>
    <col customWidth="1" min="2" max="2" width="56.75"/>
    <col customWidth="1" min="3" max="3" width="18.5"/>
    <col customWidth="1" min="4" max="4" width="8.75"/>
    <col customWidth="1" min="5" max="5" width="11.38"/>
    <col customWidth="1" min="6" max="6" width="11.5"/>
    <col customWidth="1" min="7" max="7" width="18.25"/>
    <col customWidth="1" min="8" max="8" width="15.63"/>
    <col customWidth="1" min="9" max="9" width="14.63"/>
    <col customWidth="1" min="10" max="10" width="15.38"/>
    <col customWidth="1" min="11" max="11" width="10.63"/>
    <col customWidth="1" min="12" max="12" width="11.88"/>
    <col customWidth="1" min="13" max="13" width="11.25"/>
    <col customWidth="1" min="14" max="14" width="10.88"/>
    <col customWidth="1" min="15" max="15" width="8.88"/>
    <col customWidth="1" min="16" max="16" width="10.0"/>
    <col customWidth="1" min="17" max="17" width="8.0"/>
    <col customWidth="1" min="18" max="18" width="12.5"/>
    <col customWidth="1" min="19" max="19" width="10.5"/>
    <col customWidth="1" min="20" max="20" width="11.25"/>
    <col customWidth="1" min="21" max="21" width="11.5"/>
    <col customWidth="1" min="22" max="22" width="10.38"/>
    <col customWidth="1" min="23" max="23" width="11.63"/>
    <col customWidth="1" min="24" max="24" width="12.75"/>
    <col customWidth="1" min="25" max="25" width="15.25"/>
    <col customWidth="1" min="26" max="26" width="8.75"/>
    <col customWidth="1" min="27" max="27" width="11.5"/>
    <col customWidth="1" min="28" max="28" width="12.25"/>
    <col customWidth="1" min="29" max="29" width="14.5"/>
    <col customWidth="1" min="30" max="30" width="15.0"/>
    <col customWidth="1" min="31" max="31" width="11.0"/>
    <col customWidth="1" min="32" max="32" width="14.38"/>
    <col customWidth="1" min="33" max="34" width="9.63"/>
    <col customWidth="1" min="35" max="35" width="8.75"/>
    <col customWidth="1" min="36" max="36" width="13.13"/>
    <col customWidth="1" min="37" max="37" width="10.63"/>
    <col customWidth="1" min="38" max="38" width="12.63"/>
    <col customWidth="1" min="39" max="39" width="13.0"/>
  </cols>
  <sheetData>
    <row r="1" ht="15.75" customHeight="1">
      <c r="A1" s="3" t="s">
        <v>7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15.75" customHeight="1">
      <c r="A2" s="3" t="s">
        <v>24</v>
      </c>
    </row>
    <row r="3" ht="15.75" customHeight="1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10" t="s">
        <v>34</v>
      </c>
      <c r="J3" s="10" t="s">
        <v>36</v>
      </c>
      <c r="K3" s="1" t="s">
        <v>38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46</v>
      </c>
      <c r="S3" s="1" t="s">
        <v>47</v>
      </c>
    </row>
    <row r="4" ht="15.75" customHeight="1">
      <c r="A4" s="9"/>
      <c r="B4" s="9"/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  <c r="H4" s="9" t="s">
        <v>53</v>
      </c>
      <c r="I4" s="10" t="s">
        <v>54</v>
      </c>
      <c r="J4" s="10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</row>
    <row r="5" ht="15.75" customHeight="1">
      <c r="A5" s="12" t="s">
        <v>66</v>
      </c>
      <c r="B5" s="13" t="s">
        <v>67</v>
      </c>
      <c r="C5" s="12" t="s">
        <v>69</v>
      </c>
      <c r="D5" s="12"/>
      <c r="E5" s="12"/>
      <c r="F5" s="12"/>
      <c r="G5" s="14"/>
      <c r="H5" s="14"/>
      <c r="I5" s="10"/>
      <c r="J5" s="1" t="s">
        <v>74</v>
      </c>
    </row>
    <row r="6" ht="15.75" customHeight="1">
      <c r="A6" s="12" t="s">
        <v>66</v>
      </c>
      <c r="B6" s="13" t="s">
        <v>80</v>
      </c>
      <c r="C6" s="12" t="s">
        <v>82</v>
      </c>
      <c r="D6" s="12"/>
      <c r="E6" s="12"/>
      <c r="F6" s="12"/>
      <c r="G6" s="14"/>
      <c r="H6" s="14"/>
      <c r="I6" s="10"/>
      <c r="J6" s="10"/>
      <c r="K6" s="1" t="s">
        <v>74</v>
      </c>
    </row>
    <row r="7" ht="15.75" customHeight="1">
      <c r="A7" s="12" t="s">
        <v>66</v>
      </c>
      <c r="B7" s="13" t="s">
        <v>83</v>
      </c>
      <c r="C7" s="12" t="s">
        <v>25</v>
      </c>
      <c r="D7" s="12"/>
      <c r="E7" s="12"/>
      <c r="F7" s="12"/>
      <c r="G7" s="14"/>
      <c r="H7" s="14"/>
      <c r="I7" s="10"/>
      <c r="J7" s="10"/>
      <c r="K7" s="1" t="s">
        <v>74</v>
      </c>
    </row>
    <row r="8" ht="15.75" customHeight="1">
      <c r="A8" s="12" t="s">
        <v>66</v>
      </c>
      <c r="B8" s="13" t="s">
        <v>85</v>
      </c>
      <c r="C8" s="12" t="s">
        <v>25</v>
      </c>
      <c r="D8" s="12"/>
      <c r="E8" s="12"/>
      <c r="F8" s="12"/>
      <c r="G8" s="14"/>
      <c r="H8" s="14"/>
      <c r="I8" s="10"/>
      <c r="J8" s="10"/>
      <c r="K8" s="1" t="s">
        <v>74</v>
      </c>
    </row>
    <row r="9" ht="15.75" customHeight="1">
      <c r="A9" s="12" t="s">
        <v>66</v>
      </c>
      <c r="B9" s="13" t="s">
        <v>88</v>
      </c>
      <c r="C9" s="12" t="s">
        <v>89</v>
      </c>
      <c r="D9" s="12"/>
      <c r="E9" s="12"/>
      <c r="F9" s="12"/>
      <c r="G9" s="14"/>
      <c r="H9" s="14"/>
      <c r="I9" s="10"/>
      <c r="J9" s="10"/>
      <c r="K9" s="1" t="s">
        <v>74</v>
      </c>
    </row>
    <row r="10" ht="15.75" customHeight="1">
      <c r="A10" s="12" t="s">
        <v>66</v>
      </c>
      <c r="B10" s="13" t="s">
        <v>92</v>
      </c>
      <c r="C10" s="12" t="s">
        <v>89</v>
      </c>
      <c r="D10" s="12"/>
      <c r="E10" s="12"/>
      <c r="F10" s="12"/>
      <c r="G10" s="14"/>
      <c r="H10" s="14"/>
      <c r="I10" s="10"/>
      <c r="J10" s="1" t="s">
        <v>74</v>
      </c>
    </row>
    <row r="11" ht="15.75" customHeight="1">
      <c r="A11" s="12" t="s">
        <v>66</v>
      </c>
      <c r="B11" s="13" t="s">
        <v>96</v>
      </c>
      <c r="C11" s="12" t="s">
        <v>22</v>
      </c>
      <c r="D11" s="12"/>
      <c r="E11" s="12"/>
      <c r="F11" s="12"/>
      <c r="G11" s="12"/>
      <c r="H11" s="12"/>
      <c r="I11" s="10"/>
      <c r="J11" s="10"/>
      <c r="K11" s="1" t="s">
        <v>74</v>
      </c>
    </row>
    <row r="12" ht="15.75" customHeight="1">
      <c r="A12" s="12" t="s">
        <v>66</v>
      </c>
      <c r="B12" s="13" t="s">
        <v>98</v>
      </c>
      <c r="C12" s="12" t="s">
        <v>22</v>
      </c>
      <c r="D12" s="12"/>
      <c r="E12" s="12"/>
      <c r="F12" s="12"/>
      <c r="G12" s="14"/>
      <c r="H12" s="14"/>
      <c r="I12" s="10"/>
      <c r="J12" s="10"/>
      <c r="K12" s="1" t="s">
        <v>74</v>
      </c>
    </row>
    <row r="13" ht="15.75" customHeight="1">
      <c r="A13" s="12" t="s">
        <v>99</v>
      </c>
      <c r="B13" s="13" t="s">
        <v>101</v>
      </c>
      <c r="C13" s="12" t="s">
        <v>6</v>
      </c>
      <c r="D13" s="12"/>
      <c r="E13" s="12"/>
      <c r="F13" s="12"/>
      <c r="G13" s="14"/>
      <c r="H13" s="14"/>
      <c r="I13" s="10"/>
      <c r="J13" s="10"/>
      <c r="L13" s="1" t="s">
        <v>74</v>
      </c>
      <c r="M13" s="1" t="s">
        <v>74</v>
      </c>
    </row>
    <row r="14" ht="15.75" customHeight="1">
      <c r="A14" s="12" t="s">
        <v>99</v>
      </c>
      <c r="B14" s="13" t="s">
        <v>104</v>
      </c>
      <c r="C14" s="12" t="s">
        <v>6</v>
      </c>
      <c r="D14" s="12"/>
      <c r="E14" s="12"/>
      <c r="F14" s="12"/>
      <c r="G14" s="12"/>
      <c r="H14" s="12"/>
      <c r="I14" s="10"/>
      <c r="J14" s="10"/>
      <c r="N14" s="1" t="s">
        <v>74</v>
      </c>
    </row>
    <row r="15" ht="15.75" customHeight="1">
      <c r="A15" s="12" t="s">
        <v>99</v>
      </c>
      <c r="B15" s="13" t="s">
        <v>110</v>
      </c>
      <c r="C15" s="12" t="s">
        <v>112</v>
      </c>
      <c r="D15" s="12"/>
      <c r="E15" s="12"/>
      <c r="F15" s="12"/>
      <c r="G15" s="12"/>
      <c r="H15" s="12"/>
      <c r="I15" s="10"/>
      <c r="J15" s="10"/>
      <c r="M15" s="1" t="s">
        <v>74</v>
      </c>
    </row>
    <row r="16" ht="15.75" customHeight="1">
      <c r="A16" s="12" t="s">
        <v>99</v>
      </c>
      <c r="B16" s="13" t="s">
        <v>116</v>
      </c>
      <c r="C16" s="12" t="s">
        <v>89</v>
      </c>
      <c r="D16" s="12"/>
      <c r="E16" s="12"/>
      <c r="F16" s="12"/>
      <c r="G16" s="14"/>
      <c r="H16" s="14"/>
      <c r="I16" s="10"/>
      <c r="J16" s="10"/>
      <c r="N16" s="1" t="s">
        <v>74</v>
      </c>
    </row>
    <row r="17" ht="15.75" customHeight="1">
      <c r="A17" s="12" t="s">
        <v>99</v>
      </c>
      <c r="B17" s="13" t="s">
        <v>122</v>
      </c>
      <c r="C17" s="12" t="s">
        <v>22</v>
      </c>
      <c r="D17" s="12"/>
      <c r="E17" s="12"/>
      <c r="F17" s="12"/>
      <c r="G17" s="12"/>
      <c r="H17" s="14"/>
      <c r="I17" s="10"/>
      <c r="J17" s="10"/>
      <c r="N17" s="1" t="s">
        <v>74</v>
      </c>
    </row>
    <row r="18" ht="15.75" customHeight="1">
      <c r="A18" s="12" t="s">
        <v>99</v>
      </c>
      <c r="B18" s="13" t="s">
        <v>125</v>
      </c>
      <c r="C18" s="12" t="s">
        <v>89</v>
      </c>
      <c r="D18" s="12"/>
      <c r="E18" s="12"/>
      <c r="F18" s="12"/>
      <c r="G18" s="12"/>
      <c r="H18" s="12"/>
      <c r="I18" s="10"/>
      <c r="J18" s="10"/>
      <c r="O18" s="1" t="s">
        <v>74</v>
      </c>
    </row>
    <row r="19" ht="15.75" customHeight="1">
      <c r="A19" s="12" t="s">
        <v>99</v>
      </c>
      <c r="B19" s="13" t="s">
        <v>126</v>
      </c>
      <c r="C19" s="12" t="s">
        <v>89</v>
      </c>
      <c r="D19" s="12"/>
      <c r="E19" s="12"/>
      <c r="F19" s="12"/>
      <c r="G19" s="12"/>
      <c r="H19" s="14"/>
      <c r="I19" s="10"/>
      <c r="J19" s="10"/>
      <c r="O19" s="1" t="s">
        <v>74</v>
      </c>
    </row>
    <row r="20" ht="15.75" customHeight="1">
      <c r="A20" s="12" t="s">
        <v>99</v>
      </c>
      <c r="B20" s="13" t="s">
        <v>128</v>
      </c>
      <c r="C20" s="12" t="s">
        <v>6</v>
      </c>
      <c r="D20" s="12"/>
      <c r="E20" s="12"/>
      <c r="F20" s="12"/>
      <c r="G20" s="14"/>
      <c r="H20" s="12"/>
      <c r="I20" s="10"/>
      <c r="J20" s="10"/>
      <c r="O20" s="1" t="s">
        <v>74</v>
      </c>
      <c r="P20" s="1" t="s">
        <v>74</v>
      </c>
    </row>
    <row r="21" ht="15.75" customHeight="1">
      <c r="A21" s="12" t="s">
        <v>99</v>
      </c>
      <c r="B21" s="13" t="s">
        <v>129</v>
      </c>
      <c r="C21" s="12" t="s">
        <v>6</v>
      </c>
      <c r="D21" s="12"/>
      <c r="E21" s="12"/>
      <c r="F21" s="12"/>
      <c r="G21" s="14"/>
      <c r="H21" s="12"/>
      <c r="I21" s="10"/>
      <c r="J21" s="10"/>
      <c r="O21" s="1" t="s">
        <v>74</v>
      </c>
      <c r="P21" s="1" t="s">
        <v>74</v>
      </c>
    </row>
    <row r="22" ht="15.75" customHeight="1">
      <c r="A22" s="12" t="s">
        <v>133</v>
      </c>
      <c r="B22" s="13" t="s">
        <v>134</v>
      </c>
      <c r="C22" s="12" t="s">
        <v>89</v>
      </c>
      <c r="D22" s="12"/>
      <c r="E22" s="12"/>
      <c r="F22" s="12"/>
      <c r="G22" s="14"/>
      <c r="H22" s="12"/>
      <c r="I22" s="10"/>
      <c r="J22" s="10"/>
      <c r="N22" s="1" t="s">
        <v>74</v>
      </c>
      <c r="O22" s="1" t="s">
        <v>74</v>
      </c>
      <c r="P22" s="1" t="s">
        <v>74</v>
      </c>
      <c r="Q22" s="1" t="s">
        <v>74</v>
      </c>
    </row>
    <row r="23" ht="15.75" customHeight="1">
      <c r="A23" s="21" t="s">
        <v>133</v>
      </c>
      <c r="B23" s="10" t="s">
        <v>141</v>
      </c>
      <c r="C23" s="21" t="s">
        <v>89</v>
      </c>
      <c r="D23" s="10"/>
      <c r="E23" s="10"/>
      <c r="F23" s="10"/>
      <c r="G23" s="22"/>
      <c r="H23" s="22"/>
      <c r="I23" s="10"/>
      <c r="J23" s="10"/>
      <c r="Q23" s="1" t="s">
        <v>74</v>
      </c>
    </row>
    <row r="24" ht="15.75" customHeight="1">
      <c r="A24" s="21" t="s">
        <v>133</v>
      </c>
      <c r="B24" s="10" t="s">
        <v>144</v>
      </c>
      <c r="C24" s="21" t="s">
        <v>89</v>
      </c>
      <c r="D24" s="10"/>
      <c r="E24" s="10"/>
      <c r="F24" s="10"/>
      <c r="G24" s="10"/>
      <c r="H24" s="10"/>
      <c r="I24" s="10"/>
      <c r="J24" s="10"/>
      <c r="Q24" s="1" t="s">
        <v>74</v>
      </c>
    </row>
    <row r="25" ht="15.75" customHeight="1">
      <c r="A25" s="21" t="s">
        <v>133</v>
      </c>
      <c r="B25" s="10" t="s">
        <v>145</v>
      </c>
      <c r="C25" s="21" t="s">
        <v>112</v>
      </c>
      <c r="D25" s="10"/>
      <c r="E25" s="10"/>
      <c r="F25" s="10"/>
      <c r="G25" s="10"/>
      <c r="H25" s="10"/>
      <c r="I25" s="10"/>
      <c r="J25" s="10"/>
      <c r="R25" s="1" t="s">
        <v>74</v>
      </c>
    </row>
    <row r="26" ht="15.75" customHeight="1">
      <c r="A26" s="21" t="s">
        <v>148</v>
      </c>
      <c r="B26" s="10" t="s">
        <v>149</v>
      </c>
      <c r="C26" s="21" t="s">
        <v>112</v>
      </c>
      <c r="D26" s="10"/>
      <c r="E26" s="10"/>
      <c r="F26" s="10"/>
      <c r="G26" s="22"/>
      <c r="H26" s="22"/>
      <c r="I26" s="10"/>
      <c r="J26" s="10"/>
      <c r="R26" s="1" t="s">
        <v>74</v>
      </c>
    </row>
    <row r="27" ht="15.75" customHeight="1">
      <c r="A27" s="21" t="s">
        <v>148</v>
      </c>
      <c r="B27" s="10" t="s">
        <v>150</v>
      </c>
      <c r="C27" s="21" t="s">
        <v>6</v>
      </c>
      <c r="D27" s="10"/>
      <c r="E27" s="10"/>
      <c r="F27" s="10"/>
      <c r="G27" s="22"/>
      <c r="H27" s="22"/>
      <c r="I27" s="10"/>
      <c r="J27" s="10"/>
      <c r="R27" s="1" t="s">
        <v>74</v>
      </c>
      <c r="S27" s="1"/>
    </row>
    <row r="28" ht="15.75" customHeight="1">
      <c r="A28" s="21" t="s">
        <v>148</v>
      </c>
      <c r="B28" s="10" t="s">
        <v>153</v>
      </c>
      <c r="C28" s="21" t="s">
        <v>89</v>
      </c>
      <c r="D28" s="10"/>
      <c r="E28" s="10"/>
      <c r="F28" s="10"/>
      <c r="G28" s="22"/>
      <c r="H28" s="22"/>
      <c r="I28" s="10"/>
      <c r="J28" s="10"/>
      <c r="S28" s="1" t="s">
        <v>74</v>
      </c>
    </row>
    <row r="29" ht="15.75" customHeight="1">
      <c r="A29" s="21" t="s">
        <v>148</v>
      </c>
      <c r="B29" s="10" t="s">
        <v>156</v>
      </c>
      <c r="C29" s="21" t="s">
        <v>6</v>
      </c>
      <c r="D29" s="10"/>
      <c r="E29" s="10"/>
      <c r="F29" s="10"/>
      <c r="G29" s="22"/>
      <c r="H29" s="22"/>
      <c r="I29" s="10"/>
      <c r="J29" s="10"/>
      <c r="S29" s="1" t="s">
        <v>74</v>
      </c>
    </row>
    <row r="30" ht="15.75" customHeight="1">
      <c r="A30" s="21" t="s">
        <v>148</v>
      </c>
      <c r="B30" s="10" t="s">
        <v>158</v>
      </c>
      <c r="C30" s="21" t="s">
        <v>6</v>
      </c>
      <c r="D30" s="10"/>
      <c r="E30" s="10"/>
      <c r="F30" s="10"/>
      <c r="G30" s="22"/>
      <c r="H30" s="22"/>
      <c r="I30" s="10"/>
      <c r="J30" s="10"/>
      <c r="S30" s="1" t="s">
        <v>74</v>
      </c>
    </row>
    <row r="31" ht="15.75" customHeight="1">
      <c r="A31" s="10"/>
      <c r="B31" s="10"/>
      <c r="C31" s="10"/>
      <c r="D31" s="10"/>
      <c r="E31" s="10"/>
      <c r="F31" s="10"/>
      <c r="G31" s="22"/>
      <c r="H31" s="22"/>
      <c r="I31" s="10"/>
      <c r="J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15.75" customHeight="1">
      <c r="A33" s="10"/>
      <c r="B33" s="10"/>
      <c r="C33" s="10"/>
      <c r="D33" s="10"/>
      <c r="E33" s="10"/>
      <c r="F33" s="10"/>
      <c r="G33" s="22"/>
      <c r="H33" s="22"/>
      <c r="I33" s="10"/>
      <c r="J33" s="10"/>
    </row>
    <row r="34" ht="15.75" customHeight="1">
      <c r="A34" s="10"/>
      <c r="B34" s="10"/>
      <c r="C34" s="10"/>
      <c r="D34" s="10"/>
      <c r="E34" s="10"/>
      <c r="F34" s="10"/>
      <c r="G34" s="22"/>
      <c r="H34" s="22"/>
      <c r="I34" s="10"/>
      <c r="J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conditionalFormatting sqref="J10">
    <cfRule type="expression" dxfId="4" priority="1" stopIfTrue="1">
      <formula>AND(K$1&gt;=$G10, K$1&lt;=$H10, $G10&lt;&gt;"", $H10&lt;&gt;"")</formula>
    </cfRule>
  </conditionalFormatting>
  <conditionalFormatting sqref="J5 K3:K9 K11:K37 L3:S37 T2:AM37">
    <cfRule type="expression" dxfId="4" priority="2" stopIfTrue="1">
      <formula>AND(T$1&gt;=$G2, T$1&lt;=$H2, $G2&lt;&gt;"", $H2&lt;&gt;"")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38"/>
    <col customWidth="1" min="2" max="2" width="63.25"/>
    <col customWidth="1" min="3" max="3" width="22.63"/>
    <col customWidth="1" min="4" max="4" width="16.88"/>
    <col customWidth="1" min="5" max="5" width="16.63"/>
    <col customWidth="1" min="6" max="6" width="17.13"/>
    <col customWidth="1" min="7" max="7" width="16.5"/>
    <col customWidth="1" min="8" max="8" width="11.88"/>
    <col customWidth="1" min="9" max="9" width="16.5"/>
    <col customWidth="1" min="10" max="10" width="19.5"/>
    <col customWidth="1" min="11" max="11" width="17.88"/>
  </cols>
  <sheetData>
    <row r="1" ht="15.75" customHeight="1">
      <c r="A1" s="3" t="s">
        <v>172</v>
      </c>
    </row>
    <row r="2" ht="15.75" customHeight="1">
      <c r="A2" s="3" t="s">
        <v>26</v>
      </c>
      <c r="B2" s="3" t="s">
        <v>27</v>
      </c>
      <c r="C2" s="3" t="s">
        <v>28</v>
      </c>
      <c r="D2" s="3" t="s">
        <v>173</v>
      </c>
      <c r="E2" s="3" t="s">
        <v>174</v>
      </c>
      <c r="F2" s="3" t="s">
        <v>175</v>
      </c>
      <c r="G2" s="3" t="s">
        <v>176</v>
      </c>
      <c r="H2" s="3" t="s">
        <v>72</v>
      </c>
      <c r="I2" s="3" t="s">
        <v>73</v>
      </c>
      <c r="J2" s="3" t="s">
        <v>75</v>
      </c>
      <c r="K2" s="3" t="s">
        <v>76</v>
      </c>
    </row>
    <row r="3" ht="15.75" customHeight="1">
      <c r="A3" s="25" t="str">
        <f t="array" ref="A3:C28">'Planificación'!A5:C30</f>
        <v>Fase 1</v>
      </c>
      <c r="B3" s="27" t="s">
        <v>67</v>
      </c>
      <c r="C3" s="27" t="s">
        <v>69</v>
      </c>
      <c r="D3" s="29">
        <f t="shared" ref="D3:D10" si="1">IF(OR(ISNUMBER(SEARCH("Josué", C3)), ISNUMBER(SEARCH("Todos", C3))), 2, 0)</f>
        <v>2</v>
      </c>
      <c r="E3" s="29">
        <f t="shared" ref="E3:E7" si="2">IF(OR(ISNUMBER(SEARCH("Mateo", C3)), ISNUMBER(SEARCH("Todos", C3))), 2, 0)</f>
        <v>0</v>
      </c>
      <c r="F3" s="29">
        <f>IF(OR(ISNUMBER(SEARCH("Damián", C3)), ISNUMBER(SEARCH("Todos", C3))), 2, 0)</f>
        <v>2</v>
      </c>
      <c r="G3" s="29">
        <f t="shared" ref="G3:G28" si="3">D3+E3+F3</f>
        <v>4</v>
      </c>
      <c r="H3" s="30">
        <f>D3*'Recursos Humanos'!$G$2 + E3*'Recursos Humanos'!$G$3 + F3*'Recursos Humanos'!$G$4</f>
        <v>63</v>
      </c>
      <c r="I3" s="31">
        <f>G3*'Materiales y Gastos'!$I$5</f>
        <v>8.796296296</v>
      </c>
      <c r="J3" s="31">
        <f>G3*'Materiales y Gastos'!$C$31</f>
        <v>3.624</v>
      </c>
      <c r="K3" s="31">
        <f t="shared" ref="K3:K28" si="4">H3+I3+J3</f>
        <v>75.4202963</v>
      </c>
    </row>
    <row r="4" ht="15.75" customHeight="1">
      <c r="A4" s="7" t="s">
        <v>66</v>
      </c>
      <c r="B4" s="7" t="s">
        <v>80</v>
      </c>
      <c r="C4" s="7" t="s">
        <v>82</v>
      </c>
      <c r="D4" s="7">
        <f t="shared" si="1"/>
        <v>2</v>
      </c>
      <c r="E4" s="7">
        <f t="shared" si="2"/>
        <v>0</v>
      </c>
      <c r="F4" s="7">
        <v>2.0</v>
      </c>
      <c r="G4" s="7">
        <f t="shared" si="3"/>
        <v>4</v>
      </c>
      <c r="H4" s="8">
        <f>D4*'Recursos Humanos'!$G$2 + E4*'Recursos Humanos'!$G$3 + F4*'Recursos Humanos'!$G$4</f>
        <v>63</v>
      </c>
      <c r="I4" s="8">
        <f>G4*'Materiales y Gastos'!$I$5</f>
        <v>8.796296296</v>
      </c>
      <c r="J4" s="8">
        <f>G4*'Materiales y Gastos'!$C$31</f>
        <v>3.624</v>
      </c>
      <c r="K4" s="8">
        <f t="shared" si="4"/>
        <v>75.4202963</v>
      </c>
    </row>
    <row r="5" ht="15.75" customHeight="1">
      <c r="A5" s="7" t="s">
        <v>66</v>
      </c>
      <c r="B5" s="7" t="s">
        <v>83</v>
      </c>
      <c r="C5" s="7" t="s">
        <v>25</v>
      </c>
      <c r="D5" s="7">
        <f t="shared" si="1"/>
        <v>0</v>
      </c>
      <c r="E5" s="7">
        <f t="shared" si="2"/>
        <v>0</v>
      </c>
      <c r="F5" s="7">
        <f t="shared" ref="F5:F7" si="5">IF(OR(ISNUMBER(SEARCH("Damián", C5)), ISNUMBER(SEARCH("Todos", C5))), 2, 0)</f>
        <v>2</v>
      </c>
      <c r="G5" s="7">
        <f t="shared" si="3"/>
        <v>2</v>
      </c>
      <c r="H5" s="8">
        <f>D5*'Recursos Humanos'!$G$2 + E5*'Recursos Humanos'!$G$3 + F5*'Recursos Humanos'!$G$4</f>
        <v>28</v>
      </c>
      <c r="I5" s="8">
        <f>G5*'Materiales y Gastos'!$I$5</f>
        <v>4.398148148</v>
      </c>
      <c r="J5" s="8">
        <f>G5*'Materiales y Gastos'!$C$31</f>
        <v>1.812</v>
      </c>
      <c r="K5" s="8">
        <f t="shared" si="4"/>
        <v>34.21014815</v>
      </c>
    </row>
    <row r="6" ht="15.75" customHeight="1">
      <c r="A6" s="7" t="s">
        <v>66</v>
      </c>
      <c r="B6" s="7" t="s">
        <v>85</v>
      </c>
      <c r="C6" s="7" t="s">
        <v>25</v>
      </c>
      <c r="D6" s="7">
        <f t="shared" si="1"/>
        <v>0</v>
      </c>
      <c r="E6" s="7">
        <f t="shared" si="2"/>
        <v>0</v>
      </c>
      <c r="F6" s="7">
        <f t="shared" si="5"/>
        <v>2</v>
      </c>
      <c r="G6" s="7">
        <f t="shared" si="3"/>
        <v>2</v>
      </c>
      <c r="H6" s="8">
        <f>D6*'Recursos Humanos'!$G$2 + E6*'Recursos Humanos'!$G$3 + F6*'Recursos Humanos'!$G$4</f>
        <v>28</v>
      </c>
      <c r="I6" s="8">
        <f>G6*'Materiales y Gastos'!$I$5</f>
        <v>4.398148148</v>
      </c>
      <c r="J6" s="8">
        <f>G6*'Materiales y Gastos'!$C$31</f>
        <v>1.812</v>
      </c>
      <c r="K6" s="8">
        <f t="shared" si="4"/>
        <v>34.21014815</v>
      </c>
    </row>
    <row r="7" ht="15.75" customHeight="1">
      <c r="A7" s="7" t="s">
        <v>66</v>
      </c>
      <c r="B7" s="7" t="s">
        <v>88</v>
      </c>
      <c r="C7" s="7" t="s">
        <v>89</v>
      </c>
      <c r="D7" s="7">
        <f t="shared" si="1"/>
        <v>2</v>
      </c>
      <c r="E7" s="7">
        <f t="shared" si="2"/>
        <v>2</v>
      </c>
      <c r="F7" s="7">
        <f t="shared" si="5"/>
        <v>2</v>
      </c>
      <c r="G7" s="7">
        <f t="shared" si="3"/>
        <v>6</v>
      </c>
      <c r="H7" s="8">
        <f>D7*'Recursos Humanos'!$G$2 + E7*'Recursos Humanos'!$G$3 + F7*'Recursos Humanos'!$G$4</f>
        <v>91</v>
      </c>
      <c r="I7" s="8">
        <f>G7*'Materiales y Gastos'!$I$5</f>
        <v>13.19444444</v>
      </c>
      <c r="J7" s="8">
        <f>G7*'Materiales y Gastos'!$C$31</f>
        <v>5.436</v>
      </c>
      <c r="K7" s="8">
        <f t="shared" si="4"/>
        <v>109.6304444</v>
      </c>
    </row>
    <row r="8" ht="15.75" customHeight="1">
      <c r="A8" s="32" t="s">
        <v>66</v>
      </c>
      <c r="B8" s="7" t="s">
        <v>92</v>
      </c>
      <c r="C8" s="7" t="s">
        <v>89</v>
      </c>
      <c r="D8" s="7">
        <f t="shared" si="1"/>
        <v>2</v>
      </c>
      <c r="E8" s="7">
        <v>3.0</v>
      </c>
      <c r="F8" s="7">
        <v>3.0</v>
      </c>
      <c r="G8" s="7">
        <f t="shared" si="3"/>
        <v>8</v>
      </c>
      <c r="H8" s="8">
        <f>D8*'Recursos Humanos'!$G$2 + E8*'Recursos Humanos'!$G$3 + F8*'Recursos Humanos'!$G$4</f>
        <v>119</v>
      </c>
      <c r="I8" s="8">
        <f>G8*'Materiales y Gastos'!$I$5</f>
        <v>17.59259259</v>
      </c>
      <c r="J8" s="8">
        <f>G8*'Materiales y Gastos'!$C$31</f>
        <v>7.248</v>
      </c>
      <c r="K8" s="8">
        <f t="shared" si="4"/>
        <v>143.8405926</v>
      </c>
    </row>
    <row r="9" ht="15.75" customHeight="1">
      <c r="A9" s="7" t="s">
        <v>66</v>
      </c>
      <c r="B9" s="7" t="s">
        <v>96</v>
      </c>
      <c r="C9" s="7" t="s">
        <v>22</v>
      </c>
      <c r="D9" s="7">
        <f t="shared" si="1"/>
        <v>0</v>
      </c>
      <c r="E9" s="7">
        <v>3.0</v>
      </c>
      <c r="F9" s="7">
        <f t="shared" ref="F9:F13" si="6">IF(OR(ISNUMBER(SEARCH("Damián", C9)), ISNUMBER(SEARCH("Todos", C9))), 2, 0)</f>
        <v>0</v>
      </c>
      <c r="G9" s="7">
        <f t="shared" si="3"/>
        <v>3</v>
      </c>
      <c r="H9" s="8">
        <f>D9*'Recursos Humanos'!$G$2 + E9*'Recursos Humanos'!$G$3 + F9*'Recursos Humanos'!$G$4</f>
        <v>42</v>
      </c>
      <c r="I9" s="8">
        <f>G9*'Materiales y Gastos'!$I$5</f>
        <v>6.597222222</v>
      </c>
      <c r="J9" s="8">
        <f>G9*'Materiales y Gastos'!$C$31</f>
        <v>2.718</v>
      </c>
      <c r="K9" s="8">
        <f t="shared" si="4"/>
        <v>51.31522222</v>
      </c>
    </row>
    <row r="10" ht="15.75" customHeight="1">
      <c r="A10" s="7" t="s">
        <v>66</v>
      </c>
      <c r="B10" s="7" t="s">
        <v>98</v>
      </c>
      <c r="C10" s="7" t="s">
        <v>22</v>
      </c>
      <c r="D10" s="7">
        <f t="shared" si="1"/>
        <v>0</v>
      </c>
      <c r="E10" s="7">
        <v>5.0</v>
      </c>
      <c r="F10" s="7">
        <f t="shared" si="6"/>
        <v>0</v>
      </c>
      <c r="G10" s="7">
        <f t="shared" si="3"/>
        <v>5</v>
      </c>
      <c r="H10" s="8">
        <f>D10*'Recursos Humanos'!$G$2 + E10*'Recursos Humanos'!$G$3 + F10*'Recursos Humanos'!$G$4</f>
        <v>70</v>
      </c>
      <c r="I10" s="8">
        <f>G10*'Materiales y Gastos'!$I$5</f>
        <v>10.99537037</v>
      </c>
      <c r="J10" s="8">
        <f>G10*'Materiales y Gastos'!$C$31</f>
        <v>4.53</v>
      </c>
      <c r="K10" s="8">
        <f t="shared" si="4"/>
        <v>85.52537037</v>
      </c>
    </row>
    <row r="11" ht="15.75" customHeight="1">
      <c r="A11" s="7" t="s">
        <v>99</v>
      </c>
      <c r="B11" s="7" t="s">
        <v>101</v>
      </c>
      <c r="C11" s="7" t="s">
        <v>6</v>
      </c>
      <c r="D11" s="7">
        <v>3.0</v>
      </c>
      <c r="E11" s="7">
        <f t="shared" ref="E11:E13" si="7">IF(OR(ISNUMBER(SEARCH("Mateo", C11)), ISNUMBER(SEARCH("Todos", C11))), 2, 0)</f>
        <v>0</v>
      </c>
      <c r="F11" s="7">
        <f t="shared" si="6"/>
        <v>0</v>
      </c>
      <c r="G11" s="7">
        <f t="shared" si="3"/>
        <v>3</v>
      </c>
      <c r="H11" s="8">
        <f>D11*'Recursos Humanos'!$G$2 + E11*'Recursos Humanos'!$G$3 + F11*'Recursos Humanos'!$G$4</f>
        <v>52.5</v>
      </c>
      <c r="I11" s="8">
        <f>G11*'Materiales y Gastos'!$I$5</f>
        <v>6.597222222</v>
      </c>
      <c r="J11" s="8">
        <f>G11*'Materiales y Gastos'!$C$31</f>
        <v>2.718</v>
      </c>
      <c r="K11" s="8">
        <f t="shared" si="4"/>
        <v>61.81522222</v>
      </c>
    </row>
    <row r="12" ht="15.75" customHeight="1">
      <c r="A12" s="7" t="s">
        <v>99</v>
      </c>
      <c r="B12" s="7" t="s">
        <v>104</v>
      </c>
      <c r="C12" s="7" t="s">
        <v>6</v>
      </c>
      <c r="D12" s="7">
        <v>5.0</v>
      </c>
      <c r="E12" s="7">
        <f t="shared" si="7"/>
        <v>0</v>
      </c>
      <c r="F12" s="7">
        <f t="shared" si="6"/>
        <v>0</v>
      </c>
      <c r="G12" s="7">
        <f t="shared" si="3"/>
        <v>5</v>
      </c>
      <c r="H12" s="8">
        <f>D12*'Recursos Humanos'!$G$2 + E12*'Recursos Humanos'!$G$3 + F12*'Recursos Humanos'!$G$4</f>
        <v>87.5</v>
      </c>
      <c r="I12" s="8">
        <f>G12*'Materiales y Gastos'!$I$5</f>
        <v>10.99537037</v>
      </c>
      <c r="J12" s="8">
        <f>G12*'Materiales y Gastos'!$C$31</f>
        <v>4.53</v>
      </c>
      <c r="K12" s="8">
        <f t="shared" si="4"/>
        <v>103.0253704</v>
      </c>
    </row>
    <row r="13" ht="15.75" customHeight="1">
      <c r="A13" s="33" t="s">
        <v>99</v>
      </c>
      <c r="B13" s="34" t="s">
        <v>110</v>
      </c>
      <c r="C13" s="34" t="s">
        <v>112</v>
      </c>
      <c r="D13" s="33">
        <f>IF(OR(ISNUMBER(SEARCH("Josué", C13)), ISNUMBER(SEARCH("Todos", C13))), 2, 0)</f>
        <v>0</v>
      </c>
      <c r="E13" s="33">
        <f t="shared" si="7"/>
        <v>2</v>
      </c>
      <c r="F13" s="33">
        <f t="shared" si="6"/>
        <v>2</v>
      </c>
      <c r="G13" s="33">
        <f t="shared" si="3"/>
        <v>4</v>
      </c>
      <c r="H13" s="35">
        <f>D13*'Recursos Humanos'!$G$2 + E13*'Recursos Humanos'!$G$3 + F13*'Recursos Humanos'!$G$4</f>
        <v>56</v>
      </c>
      <c r="I13" s="35">
        <f>G13*'Materiales y Gastos'!$I$5</f>
        <v>8.796296296</v>
      </c>
      <c r="J13" s="35">
        <f>G13*'Materiales y Gastos'!$C$31</f>
        <v>3.624</v>
      </c>
      <c r="K13" s="35">
        <f t="shared" si="4"/>
        <v>68.4202963</v>
      </c>
    </row>
    <row r="14" ht="15.75" customHeight="1">
      <c r="A14" s="7" t="s">
        <v>99</v>
      </c>
      <c r="B14" s="7" t="s">
        <v>116</v>
      </c>
      <c r="C14" s="7" t="s">
        <v>89</v>
      </c>
      <c r="D14" s="7">
        <v>3.0</v>
      </c>
      <c r="E14" s="7">
        <v>3.0</v>
      </c>
      <c r="F14" s="7">
        <v>1.0</v>
      </c>
      <c r="G14" s="7">
        <f t="shared" si="3"/>
        <v>7</v>
      </c>
      <c r="H14" s="8">
        <f>D14*'Recursos Humanos'!$G$2 + E14*'Recursos Humanos'!$G$3 + F14*'Recursos Humanos'!$G$4</f>
        <v>108.5</v>
      </c>
      <c r="I14" s="8">
        <f>G14*'Materiales y Gastos'!$I$5</f>
        <v>15.39351852</v>
      </c>
      <c r="J14" s="8">
        <f>G14*'Materiales y Gastos'!$C$31</f>
        <v>6.342</v>
      </c>
      <c r="K14" s="8">
        <f t="shared" si="4"/>
        <v>130.2355185</v>
      </c>
    </row>
    <row r="15" ht="15.75" customHeight="1">
      <c r="A15" s="7" t="s">
        <v>99</v>
      </c>
      <c r="B15" s="7" t="s">
        <v>122</v>
      </c>
      <c r="C15" s="7" t="s">
        <v>22</v>
      </c>
      <c r="D15" s="7">
        <f t="shared" ref="D15:D16" si="8">IF(OR(ISNUMBER(SEARCH("Josué", C15)), ISNUMBER(SEARCH("Todos", C15))), 2, 0)</f>
        <v>0</v>
      </c>
      <c r="E15" s="7">
        <f t="shared" ref="E15:E16" si="9">IF(OR(ISNUMBER(SEARCH("Mateo", C15)), ISNUMBER(SEARCH("Todos", C15))), 2, 0)</f>
        <v>2</v>
      </c>
      <c r="F15" s="7">
        <f t="shared" ref="F15:F16" si="10">IF(OR(ISNUMBER(SEARCH("Damián", C15)), ISNUMBER(SEARCH("Todos", C15))), 2, 0)</f>
        <v>0</v>
      </c>
      <c r="G15" s="7">
        <f t="shared" si="3"/>
        <v>2</v>
      </c>
      <c r="H15" s="8">
        <f>D15*'Recursos Humanos'!$G$2 + E15*'Recursos Humanos'!$G$3 + F15*'Recursos Humanos'!$G$4</f>
        <v>28</v>
      </c>
      <c r="I15" s="8">
        <f>G15*'Materiales y Gastos'!$I$5</f>
        <v>4.398148148</v>
      </c>
      <c r="J15" s="8">
        <f>G15*'Materiales y Gastos'!$C$31</f>
        <v>1.812</v>
      </c>
      <c r="K15" s="8">
        <f t="shared" si="4"/>
        <v>34.21014815</v>
      </c>
    </row>
    <row r="16" ht="15.75" customHeight="1">
      <c r="A16" s="7" t="s">
        <v>99</v>
      </c>
      <c r="B16" s="7" t="s">
        <v>125</v>
      </c>
      <c r="C16" s="7" t="s">
        <v>89</v>
      </c>
      <c r="D16" s="7">
        <f t="shared" si="8"/>
        <v>2</v>
      </c>
      <c r="E16" s="7">
        <f t="shared" si="9"/>
        <v>2</v>
      </c>
      <c r="F16" s="7">
        <f t="shared" si="10"/>
        <v>2</v>
      </c>
      <c r="G16" s="7">
        <f t="shared" si="3"/>
        <v>6</v>
      </c>
      <c r="H16" s="8">
        <f>D16*'Recursos Humanos'!$G$2 + E16*'Recursos Humanos'!$G$3 + F16*'Recursos Humanos'!$G$4</f>
        <v>91</v>
      </c>
      <c r="I16" s="8">
        <f>G16*'Materiales y Gastos'!$I$5</f>
        <v>13.19444444</v>
      </c>
      <c r="J16" s="8">
        <f>G16*'Materiales y Gastos'!$C$31</f>
        <v>5.436</v>
      </c>
      <c r="K16" s="8">
        <f t="shared" si="4"/>
        <v>109.6304444</v>
      </c>
    </row>
    <row r="17" ht="15.75" customHeight="1">
      <c r="A17" s="7" t="s">
        <v>99</v>
      </c>
      <c r="B17" s="7" t="s">
        <v>126</v>
      </c>
      <c r="C17" s="7" t="s">
        <v>89</v>
      </c>
      <c r="D17" s="7">
        <v>4.0</v>
      </c>
      <c r="E17" s="7">
        <v>4.0</v>
      </c>
      <c r="F17" s="7">
        <v>4.0</v>
      </c>
      <c r="G17" s="7">
        <f t="shared" si="3"/>
        <v>12</v>
      </c>
      <c r="H17" s="8">
        <f>D17*'Recursos Humanos'!$G$2 + E17*'Recursos Humanos'!$G$3 + F17*'Recursos Humanos'!$G$4</f>
        <v>182</v>
      </c>
      <c r="I17" s="8">
        <f>G17*'Materiales y Gastos'!$I$5</f>
        <v>26.38888889</v>
      </c>
      <c r="J17" s="8">
        <f>G17*'Materiales y Gastos'!$C$31</f>
        <v>10.872</v>
      </c>
      <c r="K17" s="8">
        <f t="shared" si="4"/>
        <v>219.2608889</v>
      </c>
    </row>
    <row r="18" ht="15.75" customHeight="1">
      <c r="A18" s="7" t="s">
        <v>99</v>
      </c>
      <c r="B18" s="7" t="s">
        <v>128</v>
      </c>
      <c r="C18" s="7" t="s">
        <v>6</v>
      </c>
      <c r="D18" s="7">
        <v>5.0</v>
      </c>
      <c r="E18" s="7">
        <f t="shared" ref="E18:E19" si="11">IF(OR(ISNUMBER(SEARCH("Mateo", C18)), ISNUMBER(SEARCH("Todos", C18))), 2, 0)</f>
        <v>0</v>
      </c>
      <c r="F18" s="7">
        <f t="shared" ref="F18:F19" si="12">IF(OR(ISNUMBER(SEARCH("Damián", C18)), ISNUMBER(SEARCH("Todos", C18))), 2, 0)</f>
        <v>0</v>
      </c>
      <c r="G18" s="7">
        <f t="shared" si="3"/>
        <v>5</v>
      </c>
      <c r="H18" s="8">
        <f>D18*'Recursos Humanos'!$G$2 + E18*'Recursos Humanos'!$G$3 + F18*'Recursos Humanos'!$G$4</f>
        <v>87.5</v>
      </c>
      <c r="I18" s="8">
        <f>G18*'Materiales y Gastos'!$I$5</f>
        <v>10.99537037</v>
      </c>
      <c r="J18" s="8">
        <f>G18*'Materiales y Gastos'!$C$31</f>
        <v>4.53</v>
      </c>
      <c r="K18" s="8">
        <f t="shared" si="4"/>
        <v>103.0253704</v>
      </c>
    </row>
    <row r="19" ht="15.75" customHeight="1">
      <c r="A19" s="32" t="s">
        <v>99</v>
      </c>
      <c r="B19" s="7" t="s">
        <v>129</v>
      </c>
      <c r="C19" s="7" t="s">
        <v>6</v>
      </c>
      <c r="D19" s="7">
        <v>3.0</v>
      </c>
      <c r="E19" s="7">
        <f t="shared" si="11"/>
        <v>0</v>
      </c>
      <c r="F19" s="7">
        <f t="shared" si="12"/>
        <v>0</v>
      </c>
      <c r="G19" s="7">
        <f t="shared" si="3"/>
        <v>3</v>
      </c>
      <c r="H19" s="8">
        <f>D19*'Recursos Humanos'!$G$2 + E19*'Recursos Humanos'!$G$3 + F19*'Recursos Humanos'!$G$4</f>
        <v>52.5</v>
      </c>
      <c r="I19" s="8">
        <f>G19*'Materiales y Gastos'!$I$5</f>
        <v>6.597222222</v>
      </c>
      <c r="J19" s="8">
        <f>G19*'Materiales y Gastos'!$C$31</f>
        <v>2.718</v>
      </c>
      <c r="K19" s="8">
        <f t="shared" si="4"/>
        <v>61.81522222</v>
      </c>
    </row>
    <row r="20" ht="15.75" customHeight="1">
      <c r="A20" s="32" t="s">
        <v>133</v>
      </c>
      <c r="B20" s="7" t="s">
        <v>134</v>
      </c>
      <c r="C20" s="7" t="s">
        <v>89</v>
      </c>
      <c r="D20" s="7">
        <v>4.0</v>
      </c>
      <c r="E20" s="7">
        <v>4.0</v>
      </c>
      <c r="F20" s="7">
        <v>4.0</v>
      </c>
      <c r="G20" s="7">
        <f t="shared" si="3"/>
        <v>12</v>
      </c>
      <c r="H20" s="8">
        <f>D20*'Recursos Humanos'!$G$2 + E20*'Recursos Humanos'!$G$3 + F20*'Recursos Humanos'!$G$4</f>
        <v>182</v>
      </c>
      <c r="I20" s="8">
        <f>G20*'Materiales y Gastos'!$I$5</f>
        <v>26.38888889</v>
      </c>
      <c r="J20" s="8">
        <f>G20*'Materiales y Gastos'!$C$31</f>
        <v>10.872</v>
      </c>
      <c r="K20" s="8">
        <f t="shared" si="4"/>
        <v>219.2608889</v>
      </c>
    </row>
    <row r="21" ht="15.75" customHeight="1">
      <c r="A21" s="7" t="s">
        <v>133</v>
      </c>
      <c r="B21" s="7" t="s">
        <v>141</v>
      </c>
      <c r="C21" s="7" t="s">
        <v>89</v>
      </c>
      <c r="D21" s="7">
        <v>6.0</v>
      </c>
      <c r="E21" s="7">
        <f t="shared" ref="E21:E23" si="13">IF(OR(ISNUMBER(SEARCH("Mateo", C21)), ISNUMBER(SEARCH("Todos", C21))), 2, 0)</f>
        <v>2</v>
      </c>
      <c r="F21" s="7">
        <f t="shared" ref="F21:F23" si="14">IF(OR(ISNUMBER(SEARCH("Damián", C21)), ISNUMBER(SEARCH("Todos", C21))), 2, 0)</f>
        <v>2</v>
      </c>
      <c r="G21" s="7">
        <f t="shared" si="3"/>
        <v>10</v>
      </c>
      <c r="H21" s="8">
        <f>D21*'Recursos Humanos'!$G$2 + E21*'Recursos Humanos'!$G$3 + F21*'Recursos Humanos'!$G$4</f>
        <v>161</v>
      </c>
      <c r="I21" s="8">
        <f>G21*'Materiales y Gastos'!$I$5</f>
        <v>21.99074074</v>
      </c>
      <c r="J21" s="8">
        <f>G21*'Materiales y Gastos'!$C$31</f>
        <v>9.06</v>
      </c>
      <c r="K21" s="8">
        <f t="shared" si="4"/>
        <v>192.0507407</v>
      </c>
    </row>
    <row r="22" ht="15.75" customHeight="1">
      <c r="A22" s="36" t="s">
        <v>133</v>
      </c>
      <c r="B22" s="27" t="s">
        <v>144</v>
      </c>
      <c r="C22" s="27" t="s">
        <v>89</v>
      </c>
      <c r="D22" s="29">
        <v>1.0</v>
      </c>
      <c r="E22" s="29">
        <f t="shared" si="13"/>
        <v>2</v>
      </c>
      <c r="F22" s="29">
        <f t="shared" si="14"/>
        <v>2</v>
      </c>
      <c r="G22" s="29">
        <f t="shared" si="3"/>
        <v>5</v>
      </c>
      <c r="H22" s="31">
        <f>D22*'Recursos Humanos'!$G$2 + E22*'Recursos Humanos'!$G$3 + F22*'Recursos Humanos'!$G$4</f>
        <v>73.5</v>
      </c>
      <c r="I22" s="31">
        <f>G22*'Materiales y Gastos'!$I$5</f>
        <v>10.99537037</v>
      </c>
      <c r="J22" s="31">
        <f>G22*'Materiales y Gastos'!$C$31</f>
        <v>4.53</v>
      </c>
      <c r="K22" s="31">
        <f t="shared" si="4"/>
        <v>89.02537037</v>
      </c>
    </row>
    <row r="23" ht="15.75" customHeight="1">
      <c r="A23" s="25" t="s">
        <v>133</v>
      </c>
      <c r="B23" s="27" t="s">
        <v>145</v>
      </c>
      <c r="C23" s="27" t="s">
        <v>112</v>
      </c>
      <c r="D23" s="29">
        <f t="shared" ref="D23:D24" si="15">IF(OR(ISNUMBER(SEARCH("Josué", C23)), ISNUMBER(SEARCH("Todos", C23))), 2, 0)</f>
        <v>0</v>
      </c>
      <c r="E23" s="29">
        <f t="shared" si="13"/>
        <v>2</v>
      </c>
      <c r="F23" s="29">
        <f t="shared" si="14"/>
        <v>2</v>
      </c>
      <c r="G23" s="29">
        <f t="shared" si="3"/>
        <v>4</v>
      </c>
      <c r="H23" s="31">
        <f>D23*'Recursos Humanos'!$G$2 + E23*'Recursos Humanos'!$G$3 + F23*'Recursos Humanos'!$G$4</f>
        <v>56</v>
      </c>
      <c r="I23" s="31">
        <f>G23*'Materiales y Gastos'!$I$5</f>
        <v>8.796296296</v>
      </c>
      <c r="J23" s="31">
        <f>G23*'Materiales y Gastos'!$C$31</f>
        <v>3.624</v>
      </c>
      <c r="K23" s="31">
        <f t="shared" si="4"/>
        <v>68.4202963</v>
      </c>
    </row>
    <row r="24" ht="15.75" customHeight="1">
      <c r="A24" s="37" t="s">
        <v>148</v>
      </c>
      <c r="B24" s="37" t="s">
        <v>149</v>
      </c>
      <c r="C24" s="37" t="s">
        <v>112</v>
      </c>
      <c r="D24" s="37">
        <f t="shared" si="15"/>
        <v>0</v>
      </c>
      <c r="E24" s="37">
        <v>4.0</v>
      </c>
      <c r="F24" s="37">
        <v>4.0</v>
      </c>
      <c r="G24" s="37">
        <f t="shared" si="3"/>
        <v>8</v>
      </c>
      <c r="H24" s="38">
        <f>D24*'Recursos Humanos'!$G$2 + E24*'Recursos Humanos'!$G$3 + F24*'Recursos Humanos'!$G$4</f>
        <v>112</v>
      </c>
      <c r="I24" s="38">
        <f>G24*'Materiales y Gastos'!$I$5</f>
        <v>17.59259259</v>
      </c>
      <c r="J24" s="38">
        <f>G24*'Materiales y Gastos'!$C$31</f>
        <v>7.248</v>
      </c>
      <c r="K24" s="38">
        <f t="shared" si="4"/>
        <v>136.8405926</v>
      </c>
    </row>
    <row r="25" ht="15.75" customHeight="1">
      <c r="A25" s="26" t="s">
        <v>148</v>
      </c>
      <c r="B25" s="39" t="s">
        <v>150</v>
      </c>
      <c r="C25" s="39" t="s">
        <v>6</v>
      </c>
      <c r="D25" s="26">
        <v>3.0</v>
      </c>
      <c r="E25" s="26">
        <f>IF(OR(ISNUMBER(SEARCH("Mateo", C25)), ISNUMBER(SEARCH("Todos", C25))), 2, 0)</f>
        <v>0</v>
      </c>
      <c r="F25" s="26">
        <f>IF(OR(ISNUMBER(SEARCH("Damián", C25)), ISNUMBER(SEARCH("Todos", C25))), 2, 0)</f>
        <v>0</v>
      </c>
      <c r="G25" s="26">
        <f t="shared" si="3"/>
        <v>3</v>
      </c>
      <c r="H25" s="28">
        <f>D25*'Recursos Humanos'!$G$2 + E25*'Recursos Humanos'!$G$3 + F25*'Recursos Humanos'!$G$4</f>
        <v>52.5</v>
      </c>
      <c r="I25" s="28">
        <f>G25*'Materiales y Gastos'!$I$5</f>
        <v>6.597222222</v>
      </c>
      <c r="J25" s="28">
        <f>G25*'Materiales y Gastos'!$C$31</f>
        <v>2.718</v>
      </c>
      <c r="K25" s="28">
        <f t="shared" si="4"/>
        <v>61.81522222</v>
      </c>
    </row>
    <row r="26" ht="15.75" customHeight="1">
      <c r="A26" s="1" t="s">
        <v>148</v>
      </c>
      <c r="B26" s="1" t="s">
        <v>153</v>
      </c>
      <c r="C26" s="1" t="s">
        <v>89</v>
      </c>
      <c r="D26" s="1">
        <v>1.0</v>
      </c>
      <c r="E26" s="1">
        <v>1.0</v>
      </c>
      <c r="F26" s="1">
        <v>1.0</v>
      </c>
      <c r="G26" s="1">
        <f t="shared" si="3"/>
        <v>3</v>
      </c>
      <c r="H26" s="11">
        <f>D26*'Recursos Humanos'!$G$2 + E26*'Recursos Humanos'!$G$3 + F26*'Recursos Humanos'!$G$4</f>
        <v>45.5</v>
      </c>
      <c r="I26" s="11">
        <f>G26*'Materiales y Gastos'!$I$5</f>
        <v>6.597222222</v>
      </c>
      <c r="J26" s="11">
        <f>G26*'Materiales y Gastos'!$C$31</f>
        <v>2.718</v>
      </c>
      <c r="K26" s="11">
        <f t="shared" si="4"/>
        <v>54.81522222</v>
      </c>
    </row>
    <row r="27" ht="15.75" customHeight="1">
      <c r="A27" s="1" t="s">
        <v>148</v>
      </c>
      <c r="B27" s="1" t="s">
        <v>156</v>
      </c>
      <c r="C27" s="1" t="s">
        <v>6</v>
      </c>
      <c r="D27" s="1">
        <v>3.0</v>
      </c>
      <c r="E27" s="1">
        <f t="shared" ref="E27:E28" si="16">IF(OR(ISNUMBER(SEARCH("Mateo", C27)), ISNUMBER(SEARCH("Todos", C27))), 2, 0)</f>
        <v>0</v>
      </c>
      <c r="F27" s="1">
        <f t="shared" ref="F27:F28" si="17">IF(OR(ISNUMBER(SEARCH("Damián", C27)), ISNUMBER(SEARCH("Todos", C27))), 2, 0)</f>
        <v>0</v>
      </c>
      <c r="G27" s="1">
        <f t="shared" si="3"/>
        <v>3</v>
      </c>
      <c r="H27" s="11">
        <f>D27*'Recursos Humanos'!$G$2 + E27*'Recursos Humanos'!$G$3 + F27*'Recursos Humanos'!$G$4</f>
        <v>52.5</v>
      </c>
      <c r="I27" s="11">
        <f>G27*'Materiales y Gastos'!$I$5</f>
        <v>6.597222222</v>
      </c>
      <c r="J27" s="11">
        <f>G27*'Materiales y Gastos'!$C$31</f>
        <v>2.718</v>
      </c>
      <c r="K27" s="11">
        <f t="shared" si="4"/>
        <v>61.81522222</v>
      </c>
    </row>
    <row r="28" ht="15.75" customHeight="1">
      <c r="A28" s="5" t="s">
        <v>148</v>
      </c>
      <c r="B28" s="1" t="s">
        <v>158</v>
      </c>
      <c r="C28" s="1" t="s">
        <v>6</v>
      </c>
      <c r="D28" s="1">
        <v>4.0</v>
      </c>
      <c r="E28" s="1">
        <f t="shared" si="16"/>
        <v>0</v>
      </c>
      <c r="F28" s="1">
        <f t="shared" si="17"/>
        <v>0</v>
      </c>
      <c r="G28" s="1">
        <f t="shared" si="3"/>
        <v>4</v>
      </c>
      <c r="H28" s="11">
        <f>D28*'Recursos Humanos'!$G$2 + E28*'Recursos Humanos'!$G$3 + F28*'Recursos Humanos'!$G$4</f>
        <v>70</v>
      </c>
      <c r="I28" s="11">
        <f>G28*'Materiales y Gastos'!$I$5</f>
        <v>8.796296296</v>
      </c>
      <c r="J28" s="11">
        <f>G28*'Materiales y Gastos'!$C$31</f>
        <v>3.624</v>
      </c>
      <c r="K28" s="11">
        <f t="shared" si="4"/>
        <v>82.4202963</v>
      </c>
    </row>
    <row r="29" ht="15.75" customHeight="1">
      <c r="A29" s="5" t="s">
        <v>181</v>
      </c>
      <c r="B29" s="5"/>
      <c r="C29" s="5"/>
      <c r="D29" s="5"/>
      <c r="E29" s="5"/>
      <c r="F29" s="5"/>
      <c r="G29" s="5"/>
      <c r="H29" s="5"/>
      <c r="I29" s="5"/>
      <c r="J29" s="5"/>
      <c r="K29" s="40">
        <f>SUM(K3:K28)</f>
        <v>2467.474852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9.88"/>
    <col customWidth="1" min="3" max="6" width="12.63"/>
  </cols>
  <sheetData>
    <row r="1" ht="15.75" customHeight="1">
      <c r="A1" s="2" t="s">
        <v>19</v>
      </c>
      <c r="B1" s="2" t="s">
        <v>162</v>
      </c>
    </row>
    <row r="2" ht="15.75" customHeight="1">
      <c r="A2" s="7" t="s">
        <v>66</v>
      </c>
      <c r="B2" s="8">
        <f>SUMIF(Costos!A:A, "Fase 1", Costos!K:K)</f>
        <v>609.5725185</v>
      </c>
    </row>
    <row r="3" ht="15.75" customHeight="1">
      <c r="A3" s="7" t="s">
        <v>99</v>
      </c>
      <c r="B3" s="8">
        <f>SUMIF(Costos!A:A, "Fase 2", Costos!K:K)</f>
        <v>891.4384815</v>
      </c>
    </row>
    <row r="4" ht="15.75" customHeight="1">
      <c r="A4" s="26" t="s">
        <v>133</v>
      </c>
      <c r="B4" s="28">
        <f>SUMIF(Costos!A:A, "Fase 3", Costos!K:K)</f>
        <v>568.7572963</v>
      </c>
    </row>
    <row r="5" ht="15.75" customHeight="1">
      <c r="A5" s="1" t="s">
        <v>148</v>
      </c>
      <c r="B5" s="1">
        <f>SUMIF(Costos!A:A, "Fase 4", Costos!K:K)</f>
        <v>397.7065556</v>
      </c>
    </row>
    <row r="6" ht="15.75" customHeight="1">
      <c r="A6" s="1" t="s">
        <v>177</v>
      </c>
      <c r="B6" s="11">
        <f>SUM(B2:B5)</f>
        <v>2467.474852</v>
      </c>
    </row>
    <row r="7" ht="15.75" customHeight="1">
      <c r="A7" s="1" t="s">
        <v>178</v>
      </c>
      <c r="B7" s="11">
        <f>MULTIPLY(B6, 0.1)</f>
        <v>246.7474852</v>
      </c>
    </row>
    <row r="8" ht="15.75" customHeight="1">
      <c r="A8" s="1" t="s">
        <v>179</v>
      </c>
      <c r="B8" s="11">
        <f>SUM(B6,B7)</f>
        <v>2714.222337</v>
      </c>
    </row>
    <row r="9" ht="15.75" customHeight="1">
      <c r="A9" s="1" t="s">
        <v>180</v>
      </c>
      <c r="B9" s="11">
        <f>B8/0.2</f>
        <v>13571.11169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