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GENERAL DE PUNTOS DE PF" sheetId="1" r:id="rId5"/>
    <sheet state="visible" name="EVALUACIÓN DEL FACTOR DE AJUSTE" sheetId="2" r:id="rId6"/>
    <sheet state="visible" name="Funciones de Datos (ILF-EIF)" sheetId="3" r:id="rId7"/>
    <sheet state="visible" name="Funciones Transaccion" sheetId="4" r:id="rId8"/>
    <sheet state="visible" name="REFERENCIA METODOLÓGICA IFPUG (" sheetId="5" r:id="rId9"/>
    <sheet state="visible" name="ESTIMACIÓN DE ESFUERZO Y COSTO " sheetId="6" r:id="rId10"/>
  </sheets>
  <definedNames/>
  <calcPr/>
</workbook>
</file>

<file path=xl/sharedStrings.xml><?xml version="1.0" encoding="utf-8"?>
<sst xmlns="http://schemas.openxmlformats.org/spreadsheetml/2006/main" count="369" uniqueCount="259">
  <si>
    <t>ANÁLISIS DE PUNTOS DE FUNCIÓN (IFPUG) — SGA Iron Body Gym</t>
  </si>
  <si>
    <t>Base documental: SRS_SGA_IronBody_v10_COMPLETO.csv</t>
  </si>
  <si>
    <t>Cobertura: 5 ILF, 3 EIF y 22 transacciones principales</t>
  </si>
  <si>
    <t>Peso IFPUG</t>
  </si>
  <si>
    <t>Puntos de Función</t>
  </si>
  <si>
    <t>Métrica</t>
  </si>
  <si>
    <t>Valor</t>
  </si>
  <si>
    <t>Detalle</t>
  </si>
  <si>
    <t>ILF</t>
  </si>
  <si>
    <t>35 PF de datos</t>
  </si>
  <si>
    <t>EIF</t>
  </si>
  <si>
    <t>15 PF de interfaz externa</t>
  </si>
  <si>
    <t>UFP</t>
  </si>
  <si>
    <t>50 PF datos + 101 PF transacciones</t>
  </si>
  <si>
    <t>Suma GSC</t>
  </si>
  <si>
    <t>14 factores de ajuste</t>
  </si>
  <si>
    <t>VAF</t>
  </si>
  <si>
    <t>0.65 + 0.01 x 42</t>
  </si>
  <si>
    <t>PFA</t>
  </si>
  <si>
    <t>UFP x VAF</t>
  </si>
  <si>
    <t>Esfuerzo</t>
  </si>
  <si>
    <t>PFA x 8 h/PFA</t>
  </si>
  <si>
    <t>Bloque</t>
  </si>
  <si>
    <t>Resumen</t>
  </si>
  <si>
    <t>PF</t>
  </si>
  <si>
    <t>Datos</t>
  </si>
  <si>
    <t>5 ILF + 3 EIF</t>
  </si>
  <si>
    <t>Transacciones</t>
  </si>
  <si>
    <t>22 funciones principales</t>
  </si>
  <si>
    <t>Total ajustado</t>
  </si>
  <si>
    <t>RF-2.2 Consultar semáforo tricolor y porcentaje (App)</t>
  </si>
  <si>
    <t>EQ</t>
  </si>
  <si>
    <t>Baja</t>
  </si>
  <si>
    <t>RF-2.3 Mostrar conteo numérico al recepcionista</t>
  </si>
  <si>
    <t>RF-6.2 Consultar en base de datos histórica (&gt;15 años)</t>
  </si>
  <si>
    <t>Media</t>
  </si>
  <si>
    <t>RF-2.1 Calcular aforo interno en tiempo real</t>
  </si>
  <si>
    <t>EO</t>
  </si>
  <si>
    <t>RF-3.1 Notificar durante períodos de mayor afluencia</t>
  </si>
  <si>
    <t>RF-3.2 Notificar aforo máximo alcanzado</t>
  </si>
  <si>
    <t>RF-3.3 Notificar descongestión del aforo</t>
  </si>
  <si>
    <t>RF-3.4 Notificar proximidad geolocalizada vía beacons</t>
  </si>
  <si>
    <t>Alta</t>
  </si>
  <si>
    <t>RF-4 Recibir y procesar alertas inteligentes en App</t>
  </si>
  <si>
    <t>RF-6.1 Generar reporte de aforo (Exportar Excel .xlsx)</t>
  </si>
  <si>
    <t>TOTAL GENERAL DE PUNTOS DE FUNCIÓN NO AJUSTADOS (PFNA)</t>
  </si>
  <si>
    <t>SUBTOTALES POR TIPO DE FUNCIÓN</t>
  </si>
  <si>
    <t>Tipo de Función</t>
  </si>
  <si>
    <t>Cantidad de Funciones</t>
  </si>
  <si>
    <t>Subtotal PF</t>
  </si>
  <si>
    <t>ILF (Archivos Lógicos Internos)</t>
  </si>
  <si>
    <t>EIF (Archivos de Interfaz Externa)</t>
  </si>
  <si>
    <t>EI (Entradas Externas)</t>
  </si>
  <si>
    <t>EQ (Consultas Externas)</t>
  </si>
  <si>
    <t>EO (Salidas Externas)</t>
  </si>
  <si>
    <t>TOTAL</t>
  </si>
  <si>
    <t>EVALUACIÓN DEL FACTOR DE AJUSTE Y PFA</t>
  </si>
  <si>
    <t>Sistema de Gestión de Aforo para Iron Body Gym</t>
  </si>
  <si>
    <t>#</t>
  </si>
  <si>
    <t>Característica General del Sistema (GSC / IFPUG)</t>
  </si>
  <si>
    <t>Grado de Influencia (0 a 5)</t>
  </si>
  <si>
    <t>Justificación Técnica del Proyecto</t>
  </si>
  <si>
    <t>Comunicación de datos</t>
  </si>
  <si>
    <t>Backend, app móvil, panel administrativo, Radar.io y notificaciones intercambian datos de forma continua.</t>
  </si>
  <si>
    <t>Procesamiento distribuido</t>
  </si>
  <si>
    <t>La solución distribuye carga entre app, backend cloud y sistema de membresías externo.</t>
  </si>
  <si>
    <t>Objetivos de rendimiento</t>
  </si>
  <si>
    <t>Los eventos BLE deben reflejarse en pocos segundos y las notificaciones llegar casi en tiempo real.</t>
  </si>
  <si>
    <t>Configuración del equipamiento</t>
  </si>
  <si>
    <t>La operación depende de dos beacons dedicados y de parámetros administrativos ajustables.</t>
  </si>
  <si>
    <t>Tasa de transacciones</t>
  </si>
  <si>
    <t>Hay picos de uso por horas pico, sincronización offline y consultas recurrentes.</t>
  </si>
  <si>
    <t>Entrada de datos en línea</t>
  </si>
  <si>
    <t>Se capturan consentimientos, permisos, reservas, aforo y eventos de forma interactiva.</t>
  </si>
  <si>
    <t>Eficiencia del usuario final</t>
  </si>
  <si>
    <t>El cliente consulta el aforo con un toque y el personal usa paneles y reportes directos.</t>
  </si>
  <si>
    <t>Actualización en línea</t>
  </si>
  <si>
    <t>Cada evento de entrada, salida o cambio administrativo actualiza el estado del sistema de inmediato.</t>
  </si>
  <si>
    <t>Procesamiento complejo</t>
  </si>
  <si>
    <t>La lógica combina reservas, período de gracia, salida inferida y sincronización diferida.</t>
  </si>
  <si>
    <t>Reusabilidad</t>
  </si>
  <si>
    <t>La misma lógica de aforo sirve para app móvil, panel administrativo y reportes.</t>
  </si>
  <si>
    <t>Instalación fácil</t>
  </si>
  <si>
    <t>El despliegue es centralizado en nube y no exige infraestructura local compleja.</t>
  </si>
  <si>
    <t>Operación fácil</t>
  </si>
  <si>
    <t>El panel incluye alertas persistentes y reglas parametrizables para reducir la carga operativa.</t>
  </si>
  <si>
    <t>Múltiples sitios</t>
  </si>
  <si>
    <t>El alcance del proyecto está concentrado en un gimnasio principal.</t>
  </si>
  <si>
    <t>Facilita cambios</t>
  </si>
  <si>
    <t>Los umbrales, rangos y límites se administran sin alterar código fuente.</t>
  </si>
  <si>
    <t>Suma total</t>
  </si>
  <si>
    <t>Parámetro / Métrica</t>
  </si>
  <si>
    <t>Fórmula / Descripción</t>
  </si>
  <si>
    <t>Puntos de Función No Ajustados (PFNA)</t>
  </si>
  <si>
    <t>Resultado acumulado de la Hoja 1</t>
  </si>
  <si>
    <t>Sumatoria del Factor de Ajuste (SUMA VAF)</t>
  </si>
  <si>
    <t>Suma de los 14 factores técnicos evaluados arriba</t>
  </si>
  <si>
    <t>Multiplicador Variable (0.01 x SUMA VAF)</t>
  </si>
  <si>
    <t>0.01 * 45</t>
  </si>
  <si>
    <t>Factor de Ajuste Total (VAF)</t>
  </si>
  <si>
    <t>0.65 + (0.01 * 45)</t>
  </si>
  <si>
    <t>PUNTOS DE FUNCIÓN AJUSTADOS (PFA)</t>
  </si>
  <si>
    <t>PFA = PFNA * (0.65 + (0.01 * SUMA VAF)) = 109 * 1.10</t>
  </si>
  <si>
    <t>FUNCIONES DE DATOS — ILF Y EIF</t>
  </si>
  <si>
    <t>Archivos lógicos internos y archivos de interfaz externa para el SGA</t>
  </si>
  <si>
    <t>Nombre</t>
  </si>
  <si>
    <t>Tipo</t>
  </si>
  <si>
    <t>RETs</t>
  </si>
  <si>
    <t>DETs</t>
  </si>
  <si>
    <t>Complejidad</t>
  </si>
  <si>
    <t>Sesiones y eventos de aforo</t>
  </si>
  <si>
    <t>Parámetros de ocupación y notificaciones</t>
  </si>
  <si>
    <t>Reservas de clases particulares</t>
  </si>
  <si>
    <t>Consentimientos, permisos y cuentas</t>
  </si>
  <si>
    <t>Alertas y auditoría técnica</t>
  </si>
  <si>
    <t>Sistema de membresías existente</t>
  </si>
  <si>
    <t>Radar.io / beacons BLE</t>
  </si>
  <si>
    <t>Servicio de notificaciones push</t>
  </si>
  <si>
    <t>Total PF de datos</t>
  </si>
  <si>
    <t>FUNCIONES DE TRANSACCIÓN — EI, EQ, EO</t>
  </si>
  <si>
    <t>Transacciones principales del SGA derivadas del SRS</t>
  </si>
  <si>
    <t>Transacción</t>
  </si>
  <si>
    <t>FTRs referenciados</t>
  </si>
  <si>
    <t>DETs (est.)</t>
  </si>
  <si>
    <t>Justificación</t>
  </si>
  <si>
    <t>RF-1.1 Registrar entrada BLE</t>
  </si>
  <si>
    <t>EI</t>
  </si>
  <si>
    <t>Detecta ingreso, valida consentimiento y actualiza aforo.</t>
  </si>
  <si>
    <t>RF-1.2 Registrar salida BLE</t>
  </si>
  <si>
    <t>Registra egreso y cierra sesión.</t>
  </si>
  <si>
    <t>RF-1.4 Calibrar umbral de salida inferida</t>
  </si>
  <si>
    <t>Recalibra el umbral semanal con histórico.</t>
  </si>
  <si>
    <t>RF-1.5 Cierre diario de sesiones</t>
  </si>
  <si>
    <t>Reconcilia sesiones abiertas al cierre.</t>
  </si>
  <si>
    <t>RF-5.1 Sincronizar eventos offline</t>
  </si>
  <si>
    <t>Ordena y aplica eventos diferidos sin perder trazabilidad.</t>
  </si>
  <si>
    <t>RF-7.2 Actualizar límite máximo de aforo</t>
  </si>
  <si>
    <t>Cambia la capacidad instalada con justificación.</t>
  </si>
  <si>
    <t>RF-8.1 Gestionar consentimiento BLE/LOPDP</t>
  </si>
  <si>
    <t>Otorga, rechaza o revoca consentimiento.</t>
  </si>
  <si>
    <t>RF-8.2 Configurar parámetros de aforo</t>
  </si>
  <si>
    <t>Administra semáforo, gracia, notificaciones y umbral.</t>
  </si>
  <si>
    <t>RF-9.1 Solicitar permisos Bluetooth/Ubicación</t>
  </si>
  <si>
    <t>Habilita el escaneo BLE en el dispositivo.</t>
  </si>
  <si>
    <t>RF-9.2 Registrar cuenta de cliente</t>
  </si>
  <si>
    <t>Valida membresía y activa la cuenta.</t>
  </si>
  <si>
    <t>RF-9.3 Iniciar sesión panel administrativo</t>
  </si>
  <si>
    <t>Autentica al personal por rol.</t>
  </si>
  <si>
    <t>RF-1.6 Consultar reserva para clasificar ingreso</t>
  </si>
  <si>
    <t>Consulta si existe clase confirmada para el día.</t>
  </si>
  <si>
    <t>RF-2.2 Mostrar semáforo y porcentaje</t>
  </si>
  <si>
    <t>Presenta la ocupación al cliente.</t>
  </si>
  <si>
    <t>RF-2.3 Mostrar conteo exacto en panel</t>
  </si>
  <si>
    <t>Presenta el aforo exacto al personal.</t>
  </si>
  <si>
    <t>RF-2.5 Mostrar detalle e historial de aforo</t>
  </si>
  <si>
    <t>Muestra gauge, conteo, hora y gráfico horario.</t>
  </si>
  <si>
    <t>RF-2.6 Aviso Bluetooth apagado</t>
  </si>
  <si>
    <t>Muestra el aviso persistente de estado del dispositivo.</t>
  </si>
  <si>
    <t>RF-3.1 Notificación de alta afluencia</t>
  </si>
  <si>
    <t>Alerta push por horas pico y umbral.</t>
  </si>
  <si>
    <t>RF-3.2 Notificación de saturación</t>
  </si>
  <si>
    <t>Push crítica al llegar a lleno.</t>
  </si>
  <si>
    <t>RF-3.3 Notificación de descongestión</t>
  </si>
  <si>
    <t>Indica que es buen momento para asistir.</t>
  </si>
  <si>
    <t>RF-6.1 Reporte de permanencia</t>
  </si>
  <si>
    <t>Promedio de permanencia con exportación.</t>
  </si>
  <si>
    <t>RF-6.2 Reporte correlación membresía</t>
  </si>
  <si>
    <t>Cruza asistencia con estado de membresía.</t>
  </si>
  <si>
    <t>RF-6.3 Reporte auditoría offline</t>
  </si>
  <si>
    <t>Traza sincronizaciones, descartes y cambios.</t>
  </si>
  <si>
    <t>RF-7.3 Alerta heartbeat beacons</t>
  </si>
  <si>
    <t>Alerta persistente y correo al responsable técnico.</t>
  </si>
  <si>
    <t>REFERENCIA METODOLÓGICA IFPUG (CPM 4.3.1)</t>
  </si>
  <si>
    <t>Cómo se estimó el PF para el SGA de Iron Body Gym</t>
  </si>
  <si>
    <t>Paso</t>
  </si>
  <si>
    <t>Qué se cuenta</t>
  </si>
  <si>
    <t>Criterio usado</t>
  </si>
  <si>
    <t>Resultado</t>
  </si>
  <si>
    <t>1. Funciones de datos</t>
  </si>
  <si>
    <t>ILF y EIF del SRS</t>
  </si>
  <si>
    <t>50 PF</t>
  </si>
  <si>
    <t>2. Funciones de transacción</t>
  </si>
  <si>
    <t>EI, EQ y EO principales</t>
  </si>
  <si>
    <t>11 EI + 5 EQ + 7 EO</t>
  </si>
  <si>
    <t>101 PF</t>
  </si>
  <si>
    <t>3. UFP</t>
  </si>
  <si>
    <t>Suma de datos + transacciones</t>
  </si>
  <si>
    <t>50 + 101</t>
  </si>
  <si>
    <t>151 UFP</t>
  </si>
  <si>
    <t>4. VAF</t>
  </si>
  <si>
    <t>0.65 + 0.01 x suma GSC</t>
  </si>
  <si>
    <t>5. PFA</t>
  </si>
  <si>
    <t>151 x 1.07</t>
  </si>
  <si>
    <t>161.57 PF</t>
  </si>
  <si>
    <t>6. Esfuerzo</t>
  </si>
  <si>
    <t>PFA x 8 horas/PFA</t>
  </si>
  <si>
    <t>161.57 x 8</t>
  </si>
  <si>
    <t>1292.56 horas</t>
  </si>
  <si>
    <t>7. Costo</t>
  </si>
  <si>
    <t>Horas distribuidas por tarifa</t>
  </si>
  <si>
    <t>Ver hoja 6</t>
  </si>
  <si>
    <t>Se calcula en la estimación económica</t>
  </si>
  <si>
    <t>Fórmula UFP</t>
  </si>
  <si>
    <t>ILF/EIF + EI/EQ/EO</t>
  </si>
  <si>
    <t>Fórmula VAF</t>
  </si>
  <si>
    <t>Fórmula PFA</t>
  </si>
  <si>
    <t>Fuente base</t>
  </si>
  <si>
    <t>SRS_SGA_IronBody_v10_COMPLETO.csv</t>
  </si>
  <si>
    <t>Tabla 3: Matriz de Complejidad para Entradas (EI): FTR x DET</t>
  </si>
  <si>
    <t>FTR \ DET</t>
  </si>
  <si>
    <t>1-4 DET</t>
  </si>
  <si>
    <t>5-15 DET</t>
  </si>
  <si>
    <t>16+ DET</t>
  </si>
  <si>
    <t>0-1 FTR</t>
  </si>
  <si>
    <t>2 FTR</t>
  </si>
  <si>
    <t>3+ FTR</t>
  </si>
  <si>
    <t>Tabla 4: Matriz de Complejidad para Consultas (EQ) y Salidas (EO): FTR x DET</t>
  </si>
  <si>
    <t>1-5 DET</t>
  </si>
  <si>
    <t>6-19 DET</t>
  </si>
  <si>
    <t>20+ DET</t>
  </si>
  <si>
    <t>2-3 FTR</t>
  </si>
  <si>
    <t>4+ FTR</t>
  </si>
  <si>
    <t>ESTIMACIÓN DE ESFUERZO Y COSTO DE DESARROLLO</t>
  </si>
  <si>
    <t>Métrica de Estimación</t>
  </si>
  <si>
    <t>Fórmula / Referencia</t>
  </si>
  <si>
    <t>Puntos de Función Ajustados (PFA)</t>
  </si>
  <si>
    <t>Resultado del cálculo VAF en la hoja 2</t>
  </si>
  <si>
    <t>Ratio de Esfuerzo (Horas por PFA)</t>
  </si>
  <si>
    <t>Horas por PFA</t>
  </si>
  <si>
    <t>Esfuerzo Total Estimado (Horas Hombre)</t>
  </si>
  <si>
    <t>Esfuerzo = PFA x ratio</t>
  </si>
  <si>
    <t>TARIFAS DEL EQUIPO DE DESARROLLO</t>
  </si>
  <si>
    <t>Desarrollador / Rol</t>
  </si>
  <si>
    <t>Tarifa por Hora ($ USD)</t>
  </si>
  <si>
    <t>Responsabilidad Principal</t>
  </si>
  <si>
    <t>Josué (Líder Técnico / Arquitecto)</t>
  </si>
  <si>
    <t>Arquitectura de Software; Integraciones IoT; QA.</t>
  </si>
  <si>
    <t>Damián (Desarrollador Backend Senior)</t>
  </si>
  <si>
    <t>Engine de Cálculo en Tiempo Real; Algoritmos de Reconciliación; BD.</t>
  </si>
  <si>
    <t>Mateo (Desarrollador Mobile / Frontend)</t>
  </si>
  <si>
    <t>App Móvil; Semáforo Tricolor; Recepción; Beacons.</t>
  </si>
  <si>
    <t>DISTRIBUCIÓN DE ESFUERZO Y COSTO DE DESARROLLO (SOBRE PFA)</t>
  </si>
  <si>
    <t>Integrante</t>
  </si>
  <si>
    <t>Participación (%)</t>
  </si>
  <si>
    <t>Horas Asignadas</t>
  </si>
  <si>
    <t>Tarifa / Hora</t>
  </si>
  <si>
    <t>Costo Total ($ USD)</t>
  </si>
  <si>
    <t>Josué (Líder / Arquitecto)</t>
  </si>
  <si>
    <t>Damián (Backend / DB)</t>
  </si>
  <si>
    <t>Mateo (Mobile / Frontend)</t>
  </si>
  <si>
    <t>TOTAL PRESUPUESTO DE DESARROLLO</t>
  </si>
  <si>
    <t>-</t>
  </si>
  <si>
    <t>RESUMEN EJECUTIVO DEL PROYECTO</t>
  </si>
  <si>
    <t>Costo Medio por Punto de Función Ajustado (PFA)</t>
  </si>
  <si>
    <t>USD / PFA</t>
  </si>
  <si>
    <t>Duración Estimada del Proyecto (Equipo de 3 personas a 40h/sem c/u)</t>
  </si>
  <si>
    <t>~8.0 semanas (2.0 meses)</t>
  </si>
  <si>
    <t>Coincidencia de Requisitos</t>
  </si>
  <si>
    <t>100% cubierto (RF-1.1 a RF-9.3)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</si>
</sst>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rgb="FF181D16"/>
      <name val="Roboto"/>
    </font>
    <font>
      <i/>
      <color rgb="FF1F3864"/>
      <name val="Arial"/>
    </font>
    <font>
      <b/>
      <color rgb="FFFFFF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3" pivot="0" name="RESUMEN GENERAL DE PUNTOS DE PF-style">
      <tableStyleElement dxfId="1" type="headerRow"/>
      <tableStyleElement dxfId="2" type="firstRowStripe"/>
      <tableStyleElement dxfId="3" type="secondRowStripe"/>
    </tableStyle>
    <tableStyle count="3" pivot="0" name="RESUMEN GENERAL DE PUNTOS DE PF-style 2">
      <tableStyleElement dxfId="1" type="headerRow"/>
      <tableStyleElement dxfId="2" type="firstRowStripe"/>
      <tableStyleElement dxfId="3" type="secondRowStripe"/>
    </tableStyle>
    <tableStyle count="3" pivot="0" name="EVALUACIÓN DEL FACTOR DE AJUSTE-style">
      <tableStyleElement dxfId="1" type="headerRow"/>
      <tableStyleElement dxfId="2" type="firstRowStripe"/>
      <tableStyleElement dxfId="3" type="secondRowStripe"/>
    </tableStyle>
    <tableStyle count="3" pivot="0" name="EVALUACIÓN DEL FACTOR DE AJUSTE-style 2">
      <tableStyleElement dxfId="1" type="headerRow"/>
      <tableStyleElement dxfId="2" type="firstRowStripe"/>
      <tableStyleElement dxfId="3" type="secondRowStripe"/>
    </tableStyle>
    <tableStyle count="3" pivot="0" name="Funciones de Datos (ILF-EIF)-style">
      <tableStyleElement dxfId="1" type="headerRow"/>
      <tableStyleElement dxfId="2" type="firstRowStripe"/>
      <tableStyleElement dxfId="3" type="secondRowStripe"/>
    </tableStyle>
    <tableStyle count="3" pivot="0" name="Funciones Transaccion-style">
      <tableStyleElement dxfId="1" type="headerRow"/>
      <tableStyleElement dxfId="2" type="firstRowStripe"/>
      <tableStyleElement dxfId="3" type="secondRowStripe"/>
    </tableStyle>
    <tableStyle count="3" pivot="0" name="REFERENCIA METODOLÓGICA IFPUG (-style">
      <tableStyleElement dxfId="1" type="headerRow"/>
      <tableStyleElement dxfId="2" type="firstRowStripe"/>
      <tableStyleElement dxfId="3" type="secondRowStripe"/>
    </tableStyle>
    <tableStyle count="3" pivot="0" name="REFERENCIA METODOLÓGICA IFPUG (-style 2">
      <tableStyleElement dxfId="1" type="headerRow"/>
      <tableStyleElement dxfId="2" type="firstRowStripe"/>
      <tableStyleElement dxfId="3" type="secondRowStripe"/>
    </tableStyle>
    <tableStyle count="3" pivot="0" name="REFERENCIA METODOLÓGICA IFPUG (-style 3">
      <tableStyleElement dxfId="1" type="headerRow"/>
      <tableStyleElement dxfId="2" type="firstRowStripe"/>
      <tableStyleElement dxfId="3" type="secondRowStripe"/>
    </tableStyle>
    <tableStyle count="3" pivot="0" name="REFERENCIA METODOLÓGICA IFPUG (-style 4">
      <tableStyleElement dxfId="1" type="headerRow"/>
      <tableStyleElement dxfId="2" type="firstRowStripe"/>
      <tableStyleElement dxfId="3" type="secondRowStripe"/>
    </tableStyle>
    <tableStyle count="3" pivot="0" name="ESTIMACIÓN DE ESFUERZO Y COSTO -style">
      <tableStyleElement dxfId="1" type="headerRow"/>
      <tableStyleElement dxfId="2" type="firstRowStripe"/>
      <tableStyleElement dxfId="3" type="secondRowStripe"/>
    </tableStyle>
    <tableStyle count="3" pivot="0" name="ESTIMACIÓN DE ESFUERZO Y COSTO -style 2">
      <tableStyleElement dxfId="1" type="headerRow"/>
      <tableStyleElement dxfId="2" type="firstRowStripe"/>
      <tableStyleElement dxfId="3" type="secondRowStripe"/>
    </tableStyle>
    <tableStyle count="3" pivot="0" name="ESTIMACIÓN DE ESFUERZO Y COSTO 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E2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RESUMEN GENERAL DE PUNTOS DE P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1:C37" displayName="Table_2" name="Table_2" id="2">
  <tableColumns count="3">
    <tableColumn name="Tipo de Función" id="1"/>
    <tableColumn name="Cantidad de Funciones" id="2"/>
    <tableColumn name="Subtotal PF" id="3"/>
  </tableColumns>
  <tableStyleInfo name="RESUMEN GENERAL DE PUNTOS DE PF-style 2" showColumnStripes="0" showFirstColumn="1" showLastColumn="1" showRowStripes="1"/>
</table>
</file>

<file path=xl/tables/table3.xml><?xml version="1.0" encoding="utf-8"?>
<table xmlns="http://schemas.openxmlformats.org/spreadsheetml/2006/main" ref="A4:D19" displayName="Table_3" name="Table_3" id="3">
  <tableColumns count="4">
    <tableColumn name="#" id="1"/>
    <tableColumn name="Característica General del Sistema (GSC / IFPUG)" id="2"/>
    <tableColumn name="Grado de Influencia (0 a 5)" id="3"/>
    <tableColumn name="Justificación Técnica del Proyecto" id="4"/>
  </tableColumns>
  <tableStyleInfo name="EVALUACIÓN DEL FACTOR DE AJUSTE-style" showColumnStripes="0" showFirstColumn="1" showLastColumn="1" showRowStripes="1"/>
</table>
</file>

<file path=xl/tables/table4.xml><?xml version="1.0" encoding="utf-8"?>
<table xmlns="http://schemas.openxmlformats.org/spreadsheetml/2006/main" ref="A22:C27" displayName="Table_4" name="Table_4" id="4">
  <tableColumns count="3">
    <tableColumn name="Parámetro / Métrica" id="1"/>
    <tableColumn name="Valor" id="2"/>
    <tableColumn name="Fórmula / Descripción" id="3"/>
  </tableColumns>
  <tableStyleInfo name="EVALUACIÓN DEL FACTOR DE AJUSTE-style 2" showColumnStripes="0" showFirstColumn="1" showLastColumn="1" showRowStripes="1"/>
</table>
</file>

<file path=xl/tables/table5.xml><?xml version="1.0" encoding="utf-8"?>
<table xmlns="http://schemas.openxmlformats.org/spreadsheetml/2006/main" ref="A4:F10" displayName="Table_5" name="Table_5" id="5">
  <tableColumns count="6">
    <tableColumn name="Nombre" id="1"/>
    <tableColumn name="Tipo" id="2"/>
    <tableColumn name="RETs" id="3"/>
    <tableColumn name="DETs" id="4"/>
    <tableColumn name="Complejidad" id="5"/>
    <tableColumn name="Peso IFPUG" id="6"/>
  </tableColumns>
  <tableStyleInfo name="Funciones de Datos (ILF-EIF)-style" showColumnStripes="0" showFirstColumn="1" showLastColumn="1" showRowStripes="1"/>
</table>
</file>

<file path=xl/tables/table6.xml><?xml version="1.0" encoding="utf-8"?>
<table xmlns="http://schemas.openxmlformats.org/spreadsheetml/2006/main" ref="A4:F21" displayName="Table_6" name="Table_6" id="6">
  <tableColumns count="6">
    <tableColumn name="Transacción" id="1"/>
    <tableColumn name="Tipo" id="2"/>
    <tableColumn name="FTRs referenciados" id="3"/>
    <tableColumn name="DETs (est.)" id="4"/>
    <tableColumn name="Complejidad" id="5"/>
    <tableColumn name="Peso IFPUG" id="6"/>
  </tableColumns>
  <tableStyleInfo name="Funciones Transaccion-style" showColumnStripes="0" showFirstColumn="1" showLastColumn="1" showRowStripes="1"/>
</table>
</file>

<file path=xl/tables/table7.xml><?xml version="1.0" encoding="utf-8"?>
<table xmlns="http://schemas.openxmlformats.org/spreadsheetml/2006/main" ref="A5:D10" displayName="Table_7" name="Table_7" id="7">
  <tableColumns count="4">
    <tableColumn name="1. Funciones de datos" id="1"/>
    <tableColumn name="ILF y EIF del SRS" id="2"/>
    <tableColumn name="5 ILF + 3 EIF" id="3"/>
    <tableColumn name="50 PF" id="4"/>
  </tableColumns>
  <tableStyleInfo name="REFERENCIA METODOLÓGICA IFPUG (-style" showColumnStripes="0" showFirstColumn="1" showLastColumn="1" showRowStripes="1"/>
</table>
</file>

<file path=xl/tables/table8.xml><?xml version="1.0" encoding="utf-8"?>
<table xmlns="http://schemas.openxmlformats.org/spreadsheetml/2006/main" headerRowCount="0" ref="A13:D16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REFERENCIA METODOLÓGICA IFPUG (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9:D22" displayName="Table_9" name="Table_9" id="9">
  <tableColumns count="4">
    <tableColumn name="FTR \ DET" id="1"/>
    <tableColumn name="1-4 DET" id="2"/>
    <tableColumn name="5-15 DET" id="3"/>
    <tableColumn name="16+ DET" id="4"/>
  </tableColumns>
  <tableStyleInfo name="REFERENCIA METODOLÓGICA IFPUG (-style 3" showColumnStripes="0" showFirstColumn="1" showLastColumn="1" showRowStripes="1"/>
</table>
</file>

<file path=xl/tables/table10.xml><?xml version="1.0" encoding="utf-8"?>
<table xmlns="http://schemas.openxmlformats.org/spreadsheetml/2006/main" ref="A25:D28" displayName="Table_10" name="Table_10" id="10">
  <tableColumns count="4">
    <tableColumn name="FTR \ DET" id="1"/>
    <tableColumn name="1-5 DET" id="2"/>
    <tableColumn name="6-19 DET" id="3"/>
    <tableColumn name="20+ DET" id="4"/>
  </tableColumns>
  <tableStyleInfo name="REFERENCIA METODOLÓGICA IFPUG (-style 4" showColumnStripes="0" showFirstColumn="1" showLastColumn="1" showRowStripes="1"/>
</table>
</file>

<file path=xl/tables/table11.xml><?xml version="1.0" encoding="utf-8"?>
<table xmlns="http://schemas.openxmlformats.org/spreadsheetml/2006/main" ref="A4:C7" displayName="Table_11" name="Table_11" id="11">
  <tableColumns count="3">
    <tableColumn name="Métrica de Estimación" id="1"/>
    <tableColumn name="Valor" id="2"/>
    <tableColumn name="Fórmula / Referencia" id="3"/>
  </tableColumns>
  <tableStyleInfo name="ESTIMACIÓN DE ESFUERZO Y COSTO -style" showColumnStripes="0" showFirstColumn="1" showLastColumn="1" showRowStripes="1"/>
</table>
</file>

<file path=xl/tables/table12.xml><?xml version="1.0" encoding="utf-8"?>
<table xmlns="http://schemas.openxmlformats.org/spreadsheetml/2006/main" ref="A10:C13" displayName="Table_12" name="Table_12" id="12">
  <tableColumns count="3">
    <tableColumn name="Desarrollador / Rol" id="1"/>
    <tableColumn name="Tarifa por Hora ($ USD)" id="2"/>
    <tableColumn name="Responsabilidad Principal" id="3"/>
  </tableColumns>
  <tableStyleInfo name="ESTIMACIÓN DE ESFUERZO Y COSTO -style 2" showColumnStripes="0" showFirstColumn="1" showLastColumn="1" showRowStripes="1"/>
</table>
</file>

<file path=xl/tables/table13.xml><?xml version="1.0" encoding="utf-8"?>
<table xmlns="http://schemas.openxmlformats.org/spreadsheetml/2006/main" ref="A16:E20" displayName="Table_13" name="Table_13" id="13">
  <tableColumns count="5">
    <tableColumn name="Integrante" id="1"/>
    <tableColumn name="Participación (%)" id="2"/>
    <tableColumn name="Horas Asignadas" id="3"/>
    <tableColumn name="Tarifa / Hora" id="4"/>
    <tableColumn name="Costo Total ($ USD)" id="5"/>
  </tableColumns>
  <tableStyleInfo name="ESTIMACIÓN DE ESFUERZO Y COSTO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2" max="2" width="25.5"/>
    <col customWidth="1" min="3" max="3" width="19.13"/>
    <col customWidth="1" min="4" max="4" width="21.38"/>
    <col customWidth="1" min="5" max="5" width="19.7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7"/>
      <c r="C4" s="7"/>
      <c r="D4" s="7" t="s">
        <v>3</v>
      </c>
      <c r="E4" s="7" t="s">
        <v>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5</v>
      </c>
      <c r="B5" s="8" t="s">
        <v>6</v>
      </c>
      <c r="C5" s="8" t="s">
        <v>7</v>
      </c>
      <c r="D5" s="8">
        <v>7.0</v>
      </c>
      <c r="E5" s="8">
        <v>7.0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8</v>
      </c>
      <c r="B6" s="8">
        <v>5.0</v>
      </c>
      <c r="C6" s="8" t="s">
        <v>9</v>
      </c>
      <c r="D6" s="8">
        <v>7.0</v>
      </c>
      <c r="E6" s="8">
        <v>7.0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10</v>
      </c>
      <c r="B7" s="8">
        <v>3.0</v>
      </c>
      <c r="C7" s="8" t="s">
        <v>11</v>
      </c>
      <c r="D7" s="8">
        <v>7.0</v>
      </c>
      <c r="E7" s="8">
        <v>7.0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12</v>
      </c>
      <c r="B8" s="8">
        <v>151.0</v>
      </c>
      <c r="C8" s="8" t="s">
        <v>13</v>
      </c>
      <c r="D8" s="8">
        <v>5.0</v>
      </c>
      <c r="E8" s="8">
        <v>5.0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14</v>
      </c>
      <c r="B9" s="8">
        <v>42.0</v>
      </c>
      <c r="C9" s="8" t="s">
        <v>15</v>
      </c>
      <c r="D9" s="8">
        <v>5.0</v>
      </c>
      <c r="E9" s="8">
        <v>5.0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16</v>
      </c>
      <c r="B10" s="8">
        <v>1.07</v>
      </c>
      <c r="C10" s="8" t="s">
        <v>17</v>
      </c>
      <c r="D10" s="8">
        <v>5.0</v>
      </c>
      <c r="E10" s="8">
        <v>5.0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18</v>
      </c>
      <c r="B11" s="8">
        <v>161.57</v>
      </c>
      <c r="C11" s="8" t="s">
        <v>19</v>
      </c>
      <c r="D11" s="8">
        <v>4.0</v>
      </c>
      <c r="E11" s="8">
        <v>4.0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20</v>
      </c>
      <c r="B12" s="8">
        <v>1292.56</v>
      </c>
      <c r="C12" s="8" t="s">
        <v>21</v>
      </c>
      <c r="D12" s="8">
        <v>3.0</v>
      </c>
      <c r="E12" s="8">
        <v>3.0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/>
      <c r="B13" s="8"/>
      <c r="C13" s="8"/>
      <c r="D13" s="8">
        <v>3.0</v>
      </c>
      <c r="E13" s="8">
        <v>3.0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22</v>
      </c>
      <c r="B14" s="8" t="s">
        <v>23</v>
      </c>
      <c r="C14" s="8" t="s">
        <v>24</v>
      </c>
      <c r="D14" s="8">
        <v>4.0</v>
      </c>
      <c r="E14" s="8">
        <v>4.0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25</v>
      </c>
      <c r="B15" s="8" t="s">
        <v>26</v>
      </c>
      <c r="C15" s="8">
        <v>50.0</v>
      </c>
      <c r="D15" s="8">
        <v>3.0</v>
      </c>
      <c r="E15" s="8">
        <v>3.0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27</v>
      </c>
      <c r="B16" s="8" t="s">
        <v>28</v>
      </c>
      <c r="C16" s="8">
        <v>101.0</v>
      </c>
      <c r="D16" s="8">
        <v>4.0</v>
      </c>
      <c r="E16" s="8">
        <v>4.0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29</v>
      </c>
      <c r="B17" s="8" t="s">
        <v>18</v>
      </c>
      <c r="C17" s="8">
        <v>161.57</v>
      </c>
      <c r="D17" s="8">
        <v>3.0</v>
      </c>
      <c r="E17" s="8">
        <v>3.0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30</v>
      </c>
      <c r="B18" s="8" t="s">
        <v>31</v>
      </c>
      <c r="C18" s="8" t="s">
        <v>32</v>
      </c>
      <c r="D18" s="8">
        <v>3.0</v>
      </c>
      <c r="E18" s="8">
        <v>3.0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33</v>
      </c>
      <c r="B19" s="8" t="s">
        <v>31</v>
      </c>
      <c r="C19" s="8" t="s">
        <v>32</v>
      </c>
      <c r="D19" s="8">
        <v>3.0</v>
      </c>
      <c r="E19" s="8">
        <v>3.0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34</v>
      </c>
      <c r="B20" s="8" t="s">
        <v>31</v>
      </c>
      <c r="C20" s="8" t="s">
        <v>35</v>
      </c>
      <c r="D20" s="8">
        <v>4.0</v>
      </c>
      <c r="E20" s="8">
        <v>4.0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36</v>
      </c>
      <c r="B21" s="8" t="s">
        <v>37</v>
      </c>
      <c r="C21" s="8" t="s">
        <v>35</v>
      </c>
      <c r="D21" s="8">
        <v>5.0</v>
      </c>
      <c r="E21" s="8">
        <v>5.0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38</v>
      </c>
      <c r="B22" s="8" t="s">
        <v>37</v>
      </c>
      <c r="C22" s="8" t="s">
        <v>35</v>
      </c>
      <c r="D22" s="8">
        <v>5.0</v>
      </c>
      <c r="E22" s="8">
        <v>5.0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39</v>
      </c>
      <c r="B23" s="8" t="s">
        <v>37</v>
      </c>
      <c r="C23" s="8" t="s">
        <v>35</v>
      </c>
      <c r="D23" s="8">
        <v>5.0</v>
      </c>
      <c r="E23" s="8">
        <v>5.0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40</v>
      </c>
      <c r="B24" s="8" t="s">
        <v>37</v>
      </c>
      <c r="C24" s="8" t="s">
        <v>35</v>
      </c>
      <c r="D24" s="8">
        <v>5.0</v>
      </c>
      <c r="E24" s="8">
        <v>5.0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41</v>
      </c>
      <c r="B25" s="8" t="s">
        <v>37</v>
      </c>
      <c r="C25" s="8" t="s">
        <v>42</v>
      </c>
      <c r="D25" s="8">
        <v>7.0</v>
      </c>
      <c r="E25" s="8">
        <v>7.0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43</v>
      </c>
      <c r="B26" s="8" t="s">
        <v>37</v>
      </c>
      <c r="C26" s="8" t="s">
        <v>35</v>
      </c>
      <c r="D26" s="8">
        <v>5.0</v>
      </c>
      <c r="E26" s="8">
        <v>5.0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44</v>
      </c>
      <c r="B27" s="8" t="s">
        <v>37</v>
      </c>
      <c r="C27" s="8" t="s">
        <v>42</v>
      </c>
      <c r="D27" s="8">
        <v>7.0</v>
      </c>
      <c r="E27" s="8">
        <v>7.0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45</v>
      </c>
      <c r="B28" s="9"/>
      <c r="C28" s="9"/>
      <c r="D28" s="8">
        <v>109.0</v>
      </c>
      <c r="E28" s="8">
        <v>109.0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46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 t="s">
        <v>47</v>
      </c>
      <c r="B31" s="7" t="s">
        <v>48</v>
      </c>
      <c r="C31" s="7" t="s">
        <v>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50</v>
      </c>
      <c r="B32" s="8">
        <v>3.0</v>
      </c>
      <c r="C32" s="8">
        <v>21.0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51</v>
      </c>
      <c r="B33" s="8">
        <v>3.0</v>
      </c>
      <c r="C33" s="8">
        <v>15.0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 t="s">
        <v>52</v>
      </c>
      <c r="B34" s="8">
        <v>7.0</v>
      </c>
      <c r="C34" s="8">
        <v>24.0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53</v>
      </c>
      <c r="B35" s="8">
        <v>3.0</v>
      </c>
      <c r="C35" s="8">
        <v>10.0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 t="s">
        <v>54</v>
      </c>
      <c r="B36" s="8">
        <v>7.0</v>
      </c>
      <c r="C36" s="8">
        <v>39.0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55</v>
      </c>
      <c r="B37" s="8">
        <v>23.0</v>
      </c>
      <c r="C37" s="8">
        <v>109.0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</sheetData>
  <mergeCells count="2">
    <mergeCell ref="A1:E1"/>
    <mergeCell ref="A2:E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75"/>
    <col customWidth="1" min="2" max="2" width="36.88"/>
    <col customWidth="1" min="3" max="3" width="39.88"/>
    <col customWidth="1" min="4" max="4" width="86.38"/>
  </cols>
  <sheetData>
    <row r="1">
      <c r="A1" s="1" t="s">
        <v>56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58</v>
      </c>
      <c r="B4" s="7" t="s">
        <v>59</v>
      </c>
      <c r="C4" s="7" t="s">
        <v>60</v>
      </c>
      <c r="D4" s="7" t="s">
        <v>61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1.0</v>
      </c>
      <c r="B5" s="8" t="s">
        <v>62</v>
      </c>
      <c r="C5" s="8">
        <v>4.0</v>
      </c>
      <c r="D5" s="8" t="s">
        <v>63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2.0</v>
      </c>
      <c r="B6" s="8" t="s">
        <v>64</v>
      </c>
      <c r="C6" s="8">
        <v>3.0</v>
      </c>
      <c r="D6" s="8" t="s">
        <v>65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3.0</v>
      </c>
      <c r="B7" s="8" t="s">
        <v>66</v>
      </c>
      <c r="C7" s="8">
        <v>4.0</v>
      </c>
      <c r="D7" s="8" t="s">
        <v>67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4.0</v>
      </c>
      <c r="B8" s="8" t="s">
        <v>68</v>
      </c>
      <c r="C8" s="8">
        <v>4.0</v>
      </c>
      <c r="D8" s="8" t="s">
        <v>69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5.0</v>
      </c>
      <c r="B9" s="8" t="s">
        <v>70</v>
      </c>
      <c r="C9" s="8">
        <v>4.0</v>
      </c>
      <c r="D9" s="8" t="s">
        <v>71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6.0</v>
      </c>
      <c r="B10" s="8" t="s">
        <v>72</v>
      </c>
      <c r="C10" s="8">
        <v>4.0</v>
      </c>
      <c r="D10" s="8" t="s">
        <v>73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7.0</v>
      </c>
      <c r="B11" s="8" t="s">
        <v>74</v>
      </c>
      <c r="C11" s="8">
        <v>4.0</v>
      </c>
      <c r="D11" s="8" t="s">
        <v>75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8.0</v>
      </c>
      <c r="B12" s="8" t="s">
        <v>76</v>
      </c>
      <c r="C12" s="8">
        <v>4.0</v>
      </c>
      <c r="D12" s="8" t="s">
        <v>77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9.0</v>
      </c>
      <c r="B13" s="8" t="s">
        <v>78</v>
      </c>
      <c r="C13" s="8">
        <v>3.0</v>
      </c>
      <c r="D13" s="8" t="s">
        <v>79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10.0</v>
      </c>
      <c r="B14" s="8" t="s">
        <v>80</v>
      </c>
      <c r="C14" s="8">
        <v>2.0</v>
      </c>
      <c r="D14" s="8" t="s">
        <v>81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11.0</v>
      </c>
      <c r="B15" s="8" t="s">
        <v>82</v>
      </c>
      <c r="C15" s="8">
        <v>1.0</v>
      </c>
      <c r="D15" s="8" t="s">
        <v>83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12.0</v>
      </c>
      <c r="B16" s="8" t="s">
        <v>84</v>
      </c>
      <c r="C16" s="8">
        <v>2.0</v>
      </c>
      <c r="D16" s="8" t="s">
        <v>85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13.0</v>
      </c>
      <c r="B17" s="8" t="s">
        <v>86</v>
      </c>
      <c r="C17" s="8">
        <v>1.0</v>
      </c>
      <c r="D17" s="8" t="s">
        <v>87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14.0</v>
      </c>
      <c r="B18" s="8" t="s">
        <v>88</v>
      </c>
      <c r="C18" s="8">
        <v>2.0</v>
      </c>
      <c r="D18" s="8" t="s">
        <v>89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/>
      <c r="B19" s="9"/>
      <c r="C19" s="8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90</v>
      </c>
      <c r="B20" s="10">
        <v>42.0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16</v>
      </c>
      <c r="B21" s="10">
        <v>1.07</v>
      </c>
      <c r="C21" s="4"/>
      <c r="D21" s="6" t="s">
        <v>17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91</v>
      </c>
      <c r="B22" s="7" t="s">
        <v>6</v>
      </c>
      <c r="C22" s="7" t="s">
        <v>92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93</v>
      </c>
      <c r="B23" s="8">
        <v>109.0</v>
      </c>
      <c r="C23" s="8" t="s">
        <v>94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95</v>
      </c>
      <c r="B24" s="8">
        <v>45.0</v>
      </c>
      <c r="C24" s="8" t="s">
        <v>96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97</v>
      </c>
      <c r="B25" s="8">
        <v>0.45</v>
      </c>
      <c r="C25" s="8" t="s">
        <v>98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99</v>
      </c>
      <c r="B26" s="8">
        <v>1.1</v>
      </c>
      <c r="C26" s="8" t="s">
        <v>100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101</v>
      </c>
      <c r="B27" s="8">
        <v>119.9</v>
      </c>
      <c r="C27" s="8" t="s">
        <v>102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4.25"/>
    <col customWidth="1" min="3" max="3" width="19.38"/>
    <col customWidth="1" min="4" max="4" width="18.38"/>
    <col customWidth="1" min="5" max="5" width="10.13"/>
    <col customWidth="1" min="6" max="6" width="167.63"/>
  </cols>
  <sheetData>
    <row r="1">
      <c r="A1" s="1" t="s">
        <v>103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105</v>
      </c>
      <c r="B4" s="7" t="s">
        <v>106</v>
      </c>
      <c r="C4" s="7" t="s">
        <v>107</v>
      </c>
      <c r="D4" s="7" t="s">
        <v>108</v>
      </c>
      <c r="E4" s="7" t="s">
        <v>109</v>
      </c>
      <c r="F4" s="7" t="s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110</v>
      </c>
      <c r="B5" s="8" t="s">
        <v>8</v>
      </c>
      <c r="C5" s="8">
        <v>3.0</v>
      </c>
      <c r="D5" s="8">
        <v>18.0</v>
      </c>
      <c r="E5" s="8" t="s">
        <v>32</v>
      </c>
      <c r="F5" s="8">
        <v>7.0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111</v>
      </c>
      <c r="B6" s="8" t="s">
        <v>8</v>
      </c>
      <c r="C6" s="8">
        <v>2.0</v>
      </c>
      <c r="D6" s="8">
        <v>14.0</v>
      </c>
      <c r="E6" s="8" t="s">
        <v>32</v>
      </c>
      <c r="F6" s="8">
        <v>7.0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112</v>
      </c>
      <c r="B7" s="8" t="s">
        <v>8</v>
      </c>
      <c r="C7" s="8">
        <v>2.0</v>
      </c>
      <c r="D7" s="8">
        <v>12.0</v>
      </c>
      <c r="E7" s="8" t="s">
        <v>32</v>
      </c>
      <c r="F7" s="8">
        <v>7.0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113</v>
      </c>
      <c r="B8" s="8" t="s">
        <v>8</v>
      </c>
      <c r="C8" s="8">
        <v>3.0</v>
      </c>
      <c r="D8" s="8">
        <v>15.0</v>
      </c>
      <c r="E8" s="8" t="s">
        <v>32</v>
      </c>
      <c r="F8" s="8">
        <v>7.0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114</v>
      </c>
      <c r="B9" s="8" t="s">
        <v>8</v>
      </c>
      <c r="C9" s="8">
        <v>2.0</v>
      </c>
      <c r="D9" s="8">
        <v>13.0</v>
      </c>
      <c r="E9" s="8" t="s">
        <v>32</v>
      </c>
      <c r="F9" s="8">
        <v>7.0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115</v>
      </c>
      <c r="B10" s="8" t="s">
        <v>10</v>
      </c>
      <c r="C10" s="8">
        <v>1.0</v>
      </c>
      <c r="D10" s="8">
        <v>8.0</v>
      </c>
      <c r="E10" s="8" t="s">
        <v>32</v>
      </c>
      <c r="F10" s="8">
        <v>5.0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116</v>
      </c>
      <c r="B11" s="6" t="s">
        <v>10</v>
      </c>
      <c r="C11" s="10">
        <v>1.0</v>
      </c>
      <c r="D11" s="10">
        <v>6.0</v>
      </c>
      <c r="E11" s="6" t="s">
        <v>32</v>
      </c>
      <c r="F11" s="10">
        <v>5.0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117</v>
      </c>
      <c r="B12" s="6" t="s">
        <v>10</v>
      </c>
      <c r="C12" s="10">
        <v>1.0</v>
      </c>
      <c r="D12" s="10">
        <v>5.0</v>
      </c>
      <c r="E12" s="6" t="s">
        <v>32</v>
      </c>
      <c r="F12" s="10">
        <v>5.0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118</v>
      </c>
      <c r="B13" s="4"/>
      <c r="C13" s="4"/>
      <c r="D13" s="4"/>
      <c r="E13" s="4"/>
      <c r="F13" s="10">
        <v>50.0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4.25"/>
    <col customWidth="1" min="3" max="3" width="23.25"/>
    <col customWidth="1" min="4" max="4" width="15.5"/>
    <col customWidth="1" min="5" max="5" width="10.13"/>
    <col customWidth="1" min="6" max="6" width="74.5"/>
  </cols>
  <sheetData>
    <row r="1">
      <c r="A1" s="1" t="s">
        <v>119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120</v>
      </c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121</v>
      </c>
      <c r="B4" s="7" t="s">
        <v>106</v>
      </c>
      <c r="C4" s="7" t="s">
        <v>122</v>
      </c>
      <c r="D4" s="7" t="s">
        <v>123</v>
      </c>
      <c r="E4" s="7" t="s">
        <v>109</v>
      </c>
      <c r="F4" s="7" t="s">
        <v>3</v>
      </c>
      <c r="G4" s="6" t="s">
        <v>124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125</v>
      </c>
      <c r="B5" s="8" t="s">
        <v>126</v>
      </c>
      <c r="C5" s="8">
        <v>2.0</v>
      </c>
      <c r="D5" s="8">
        <v>6.0</v>
      </c>
      <c r="E5" s="8" t="s">
        <v>35</v>
      </c>
      <c r="F5" s="8">
        <v>4.0</v>
      </c>
      <c r="G5" s="6" t="s">
        <v>127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128</v>
      </c>
      <c r="B6" s="8" t="s">
        <v>126</v>
      </c>
      <c r="C6" s="8">
        <v>2.0</v>
      </c>
      <c r="D6" s="8">
        <v>6.0</v>
      </c>
      <c r="E6" s="8" t="s">
        <v>35</v>
      </c>
      <c r="F6" s="8">
        <v>4.0</v>
      </c>
      <c r="G6" s="6" t="s">
        <v>129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130</v>
      </c>
      <c r="B7" s="8" t="s">
        <v>126</v>
      </c>
      <c r="C7" s="8">
        <v>3.0</v>
      </c>
      <c r="D7" s="8">
        <v>12.0</v>
      </c>
      <c r="E7" s="8" t="s">
        <v>42</v>
      </c>
      <c r="F7" s="8">
        <v>6.0</v>
      </c>
      <c r="G7" s="6" t="s">
        <v>131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132</v>
      </c>
      <c r="B8" s="8" t="s">
        <v>126</v>
      </c>
      <c r="C8" s="8">
        <v>2.0</v>
      </c>
      <c r="D8" s="8">
        <v>8.0</v>
      </c>
      <c r="E8" s="8" t="s">
        <v>35</v>
      </c>
      <c r="F8" s="8">
        <v>4.0</v>
      </c>
      <c r="G8" s="6" t="s">
        <v>133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134</v>
      </c>
      <c r="B9" s="8" t="s">
        <v>126</v>
      </c>
      <c r="C9" s="8">
        <v>3.0</v>
      </c>
      <c r="D9" s="8">
        <v>10.0</v>
      </c>
      <c r="E9" s="8" t="s">
        <v>42</v>
      </c>
      <c r="F9" s="8">
        <v>6.0</v>
      </c>
      <c r="G9" s="6" t="s">
        <v>135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136</v>
      </c>
      <c r="B10" s="8" t="s">
        <v>126</v>
      </c>
      <c r="C10" s="8">
        <v>2.0</v>
      </c>
      <c r="D10" s="8">
        <v>6.0</v>
      </c>
      <c r="E10" s="8" t="s">
        <v>35</v>
      </c>
      <c r="F10" s="8">
        <v>4.0</v>
      </c>
      <c r="G10" s="6" t="s">
        <v>137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138</v>
      </c>
      <c r="B11" s="8" t="s">
        <v>126</v>
      </c>
      <c r="C11" s="8">
        <v>2.0</v>
      </c>
      <c r="D11" s="8">
        <v>7.0</v>
      </c>
      <c r="E11" s="8" t="s">
        <v>32</v>
      </c>
      <c r="F11" s="8">
        <v>3.0</v>
      </c>
      <c r="G11" s="6" t="s">
        <v>139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140</v>
      </c>
      <c r="B12" s="8" t="s">
        <v>126</v>
      </c>
      <c r="C12" s="8">
        <v>3.0</v>
      </c>
      <c r="D12" s="8">
        <v>14.0</v>
      </c>
      <c r="E12" s="8" t="s">
        <v>42</v>
      </c>
      <c r="F12" s="8">
        <v>6.0</v>
      </c>
      <c r="G12" s="6" t="s">
        <v>141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142</v>
      </c>
      <c r="B13" s="8" t="s">
        <v>126</v>
      </c>
      <c r="C13" s="8">
        <v>1.0</v>
      </c>
      <c r="D13" s="8">
        <v>5.0</v>
      </c>
      <c r="E13" s="8" t="s">
        <v>32</v>
      </c>
      <c r="F13" s="8">
        <v>3.0</v>
      </c>
      <c r="G13" s="6" t="s">
        <v>143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144</v>
      </c>
      <c r="B14" s="8" t="s">
        <v>126</v>
      </c>
      <c r="C14" s="8">
        <v>2.0</v>
      </c>
      <c r="D14" s="8">
        <v>8.0</v>
      </c>
      <c r="E14" s="8" t="s">
        <v>35</v>
      </c>
      <c r="F14" s="8">
        <v>4.0</v>
      </c>
      <c r="G14" s="6" t="s">
        <v>145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146</v>
      </c>
      <c r="B15" s="8" t="s">
        <v>126</v>
      </c>
      <c r="C15" s="8">
        <v>2.0</v>
      </c>
      <c r="D15" s="8">
        <v>5.0</v>
      </c>
      <c r="E15" s="8" t="s">
        <v>32</v>
      </c>
      <c r="F15" s="8">
        <v>3.0</v>
      </c>
      <c r="G15" s="6" t="s">
        <v>147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148</v>
      </c>
      <c r="B16" s="8" t="s">
        <v>31</v>
      </c>
      <c r="C16" s="8">
        <v>2.0</v>
      </c>
      <c r="D16" s="8">
        <v>6.0</v>
      </c>
      <c r="E16" s="8" t="s">
        <v>32</v>
      </c>
      <c r="F16" s="8">
        <v>3.0</v>
      </c>
      <c r="G16" s="6" t="s">
        <v>149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150</v>
      </c>
      <c r="B17" s="8" t="s">
        <v>31</v>
      </c>
      <c r="C17" s="8">
        <v>2.0</v>
      </c>
      <c r="D17" s="8">
        <v>5.0</v>
      </c>
      <c r="E17" s="8" t="s">
        <v>32</v>
      </c>
      <c r="F17" s="8">
        <v>3.0</v>
      </c>
      <c r="G17" s="6" t="s">
        <v>151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152</v>
      </c>
      <c r="B18" s="8" t="s">
        <v>31</v>
      </c>
      <c r="C18" s="8">
        <v>2.0</v>
      </c>
      <c r="D18" s="8">
        <v>6.0</v>
      </c>
      <c r="E18" s="8" t="s">
        <v>32</v>
      </c>
      <c r="F18" s="8">
        <v>3.0</v>
      </c>
      <c r="G18" s="6" t="s">
        <v>153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154</v>
      </c>
      <c r="B19" s="8" t="s">
        <v>37</v>
      </c>
      <c r="C19" s="8">
        <v>3.0</v>
      </c>
      <c r="D19" s="8">
        <v>12.0</v>
      </c>
      <c r="E19" s="8" t="s">
        <v>35</v>
      </c>
      <c r="F19" s="8">
        <v>5.0</v>
      </c>
      <c r="G19" s="6" t="s">
        <v>155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156</v>
      </c>
      <c r="B20" s="8" t="s">
        <v>31</v>
      </c>
      <c r="C20" s="8">
        <v>1.0</v>
      </c>
      <c r="D20" s="8">
        <v>4.0</v>
      </c>
      <c r="E20" s="8" t="s">
        <v>32</v>
      </c>
      <c r="F20" s="8">
        <v>3.0</v>
      </c>
      <c r="G20" s="6" t="s">
        <v>157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158</v>
      </c>
      <c r="B21" s="8" t="s">
        <v>37</v>
      </c>
      <c r="C21" s="8">
        <v>3.0</v>
      </c>
      <c r="D21" s="8">
        <v>8.0</v>
      </c>
      <c r="E21" s="8" t="s">
        <v>35</v>
      </c>
      <c r="F21" s="8">
        <v>5.0</v>
      </c>
      <c r="G21" s="6" t="s">
        <v>159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160</v>
      </c>
      <c r="B22" s="6" t="s">
        <v>37</v>
      </c>
      <c r="C22" s="10">
        <v>2.0</v>
      </c>
      <c r="D22" s="10">
        <v>6.0</v>
      </c>
      <c r="E22" s="6" t="s">
        <v>32</v>
      </c>
      <c r="F22" s="10">
        <v>4.0</v>
      </c>
      <c r="G22" s="6" t="s">
        <v>161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162</v>
      </c>
      <c r="B23" s="6" t="s">
        <v>37</v>
      </c>
      <c r="C23" s="10">
        <v>2.0</v>
      </c>
      <c r="D23" s="10">
        <v>6.0</v>
      </c>
      <c r="E23" s="6" t="s">
        <v>32</v>
      </c>
      <c r="F23" s="10">
        <v>4.0</v>
      </c>
      <c r="G23" s="6" t="s">
        <v>163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164</v>
      </c>
      <c r="B24" s="6" t="s">
        <v>37</v>
      </c>
      <c r="C24" s="10">
        <v>4.0</v>
      </c>
      <c r="D24" s="10">
        <v>15.0</v>
      </c>
      <c r="E24" s="6" t="s">
        <v>42</v>
      </c>
      <c r="F24" s="10">
        <v>7.0</v>
      </c>
      <c r="G24" s="6" t="s">
        <v>165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166</v>
      </c>
      <c r="B25" s="6" t="s">
        <v>37</v>
      </c>
      <c r="C25" s="10">
        <v>4.0</v>
      </c>
      <c r="D25" s="10">
        <v>16.0</v>
      </c>
      <c r="E25" s="6" t="s">
        <v>42</v>
      </c>
      <c r="F25" s="10">
        <v>7.0</v>
      </c>
      <c r="G25" s="6" t="s">
        <v>167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168</v>
      </c>
      <c r="B26" s="6" t="s">
        <v>37</v>
      </c>
      <c r="C26" s="10">
        <v>3.0</v>
      </c>
      <c r="D26" s="10">
        <v>12.0</v>
      </c>
      <c r="E26" s="6" t="s">
        <v>35</v>
      </c>
      <c r="F26" s="10">
        <v>5.0</v>
      </c>
      <c r="G26" s="6" t="s">
        <v>169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170</v>
      </c>
      <c r="B27" s="6" t="s">
        <v>37</v>
      </c>
      <c r="C27" s="10">
        <v>2.0</v>
      </c>
      <c r="D27" s="10">
        <v>7.0</v>
      </c>
      <c r="E27" s="6" t="s">
        <v>35</v>
      </c>
      <c r="F27" s="10">
        <v>5.0</v>
      </c>
      <c r="G27" s="6" t="s">
        <v>171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2" max="2" width="17.25"/>
    <col customWidth="1" min="3" max="3" width="16.13"/>
    <col customWidth="1" min="4" max="4" width="21.25"/>
  </cols>
  <sheetData>
    <row r="1">
      <c r="A1" s="6" t="s">
        <v>172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174</v>
      </c>
      <c r="B4" s="6" t="s">
        <v>175</v>
      </c>
      <c r="C4" s="6" t="s">
        <v>176</v>
      </c>
      <c r="D4" s="6" t="s">
        <v>177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178</v>
      </c>
      <c r="B5" s="7" t="s">
        <v>179</v>
      </c>
      <c r="C5" s="7" t="s">
        <v>26</v>
      </c>
      <c r="D5" s="7" t="s">
        <v>180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181</v>
      </c>
      <c r="B6" s="8" t="s">
        <v>182</v>
      </c>
      <c r="C6" s="8" t="s">
        <v>183</v>
      </c>
      <c r="D6" s="8" t="s">
        <v>184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185</v>
      </c>
      <c r="B7" s="8" t="s">
        <v>186</v>
      </c>
      <c r="C7" s="8" t="s">
        <v>187</v>
      </c>
      <c r="D7" s="8" t="s">
        <v>188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189</v>
      </c>
      <c r="B8" s="8" t="s">
        <v>190</v>
      </c>
      <c r="C8" s="8" t="s">
        <v>17</v>
      </c>
      <c r="D8" s="8">
        <v>1.07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191</v>
      </c>
      <c r="B9" s="8" t="s">
        <v>19</v>
      </c>
      <c r="C9" s="8" t="s">
        <v>192</v>
      </c>
      <c r="D9" s="8" t="s">
        <v>193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194</v>
      </c>
      <c r="B10" s="8" t="s">
        <v>195</v>
      </c>
      <c r="C10" s="8" t="s">
        <v>196</v>
      </c>
      <c r="D10" s="8" t="s">
        <v>197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198</v>
      </c>
      <c r="B11" s="6" t="s">
        <v>199</v>
      </c>
      <c r="C11" s="6" t="s">
        <v>200</v>
      </c>
      <c r="D11" s="6" t="s">
        <v>201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202</v>
      </c>
      <c r="B13" s="7" t="s">
        <v>203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204</v>
      </c>
      <c r="B14" s="8" t="s">
        <v>190</v>
      </c>
      <c r="C14" s="8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205</v>
      </c>
      <c r="B15" s="8" t="s">
        <v>19</v>
      </c>
      <c r="C15" s="8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206</v>
      </c>
      <c r="B16" s="8" t="s">
        <v>207</v>
      </c>
      <c r="C16" s="8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208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209</v>
      </c>
      <c r="B19" s="7" t="s">
        <v>210</v>
      </c>
      <c r="C19" s="7" t="s">
        <v>211</v>
      </c>
      <c r="D19" s="7" t="s">
        <v>212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213</v>
      </c>
      <c r="B20" s="8" t="s">
        <v>32</v>
      </c>
      <c r="C20" s="8" t="s">
        <v>32</v>
      </c>
      <c r="D20" s="8" t="s">
        <v>35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214</v>
      </c>
      <c r="B21" s="8" t="s">
        <v>32</v>
      </c>
      <c r="C21" s="8" t="s">
        <v>35</v>
      </c>
      <c r="D21" s="8" t="s">
        <v>42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215</v>
      </c>
      <c r="B22" s="8" t="s">
        <v>35</v>
      </c>
      <c r="C22" s="8" t="s">
        <v>42</v>
      </c>
      <c r="D22" s="8" t="s">
        <v>42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216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 t="s">
        <v>209</v>
      </c>
      <c r="B25" s="7" t="s">
        <v>217</v>
      </c>
      <c r="C25" s="7" t="s">
        <v>218</v>
      </c>
      <c r="D25" s="7" t="s">
        <v>219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213</v>
      </c>
      <c r="B26" s="8" t="s">
        <v>32</v>
      </c>
      <c r="C26" s="8" t="s">
        <v>32</v>
      </c>
      <c r="D26" s="8" t="s">
        <v>35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220</v>
      </c>
      <c r="B27" s="8" t="s">
        <v>32</v>
      </c>
      <c r="C27" s="8" t="s">
        <v>35</v>
      </c>
      <c r="D27" s="8" t="s">
        <v>42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221</v>
      </c>
      <c r="B28" s="8" t="s">
        <v>35</v>
      </c>
      <c r="C28" s="8" t="s">
        <v>42</v>
      </c>
      <c r="D28" s="8" t="s">
        <v>42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  <col customWidth="1" min="2" max="2" width="25.75"/>
    <col customWidth="1" min="3" max="3" width="50.38"/>
    <col customWidth="1" min="4" max="4" width="16.13"/>
    <col customWidth="1" min="5" max="5" width="15.13"/>
  </cols>
  <sheetData>
    <row r="1">
      <c r="A1" s="6" t="s">
        <v>222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223</v>
      </c>
      <c r="B4" s="7" t="s">
        <v>6</v>
      </c>
      <c r="C4" s="7" t="s">
        <v>224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225</v>
      </c>
      <c r="B5" s="8">
        <v>161.57</v>
      </c>
      <c r="C5" s="8" t="s">
        <v>226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227</v>
      </c>
      <c r="B6" s="8">
        <v>8.0</v>
      </c>
      <c r="C6" s="8" t="s">
        <v>228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229</v>
      </c>
      <c r="B7" s="8">
        <f>ROUND(B5*B6,2)</f>
        <v>1292.56</v>
      </c>
      <c r="C7" s="8" t="s">
        <v>230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231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232</v>
      </c>
      <c r="B10" s="7" t="s">
        <v>233</v>
      </c>
      <c r="C10" s="7" t="s">
        <v>234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235</v>
      </c>
      <c r="B11" s="11">
        <v>17.5</v>
      </c>
      <c r="C11" s="8" t="s">
        <v>236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237</v>
      </c>
      <c r="B12" s="11">
        <v>14.0</v>
      </c>
      <c r="C12" s="8" t="s">
        <v>238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239</v>
      </c>
      <c r="B13" s="11">
        <v>14.0</v>
      </c>
      <c r="C13" s="8" t="s">
        <v>240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242</v>
      </c>
      <c r="B16" s="7" t="s">
        <v>243</v>
      </c>
      <c r="C16" s="7" t="s">
        <v>244</v>
      </c>
      <c r="D16" s="7" t="s">
        <v>245</v>
      </c>
      <c r="E16" s="7" t="s">
        <v>246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247</v>
      </c>
      <c r="B17" s="12">
        <v>0.25</v>
      </c>
      <c r="C17" s="8">
        <f t="shared" ref="C17:C19" si="1">ROUND($B$7*B17,2)</f>
        <v>323.14</v>
      </c>
      <c r="D17" s="11">
        <v>17.5</v>
      </c>
      <c r="E17" s="11">
        <f t="shared" ref="E17:E19" si="2">ROUND(C17*D17,2)</f>
        <v>5654.95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248</v>
      </c>
      <c r="B18" s="12">
        <v>0.38</v>
      </c>
      <c r="C18" s="8">
        <f t="shared" si="1"/>
        <v>491.17</v>
      </c>
      <c r="D18" s="11">
        <v>14.0</v>
      </c>
      <c r="E18" s="11">
        <f t="shared" si="2"/>
        <v>6876.38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249</v>
      </c>
      <c r="B19" s="12">
        <v>0.37</v>
      </c>
      <c r="C19" s="8">
        <f t="shared" si="1"/>
        <v>478.25</v>
      </c>
      <c r="D19" s="11">
        <v>14.0</v>
      </c>
      <c r="E19" s="11">
        <f t="shared" si="2"/>
        <v>6695.5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250</v>
      </c>
      <c r="B20" s="12">
        <v>1.0</v>
      </c>
      <c r="C20" s="8">
        <f>ROUND(SUM(C17:C19),2)</f>
        <v>1292.56</v>
      </c>
      <c r="D20" s="8" t="s">
        <v>251</v>
      </c>
      <c r="E20" s="11">
        <f>ROUND(SUM(E17:E19),2)</f>
        <v>19226.83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252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253</v>
      </c>
      <c r="B23" s="13">
        <f>ROUND(E20/$B$5,2)</f>
        <v>119</v>
      </c>
      <c r="C23" s="6" t="s">
        <v>254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255</v>
      </c>
      <c r="B24" s="6" t="s">
        <v>256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257</v>
      </c>
      <c r="B25" s="6" t="s">
        <v>258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3">
    <tablePart r:id="rId5"/>
    <tablePart r:id="rId6"/>
    <tablePart r:id="rId7"/>
  </tableParts>
</worksheet>
</file>