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5"/>
    <sheet state="visible" name="MODELO LISTA DE COMPROBACION 1 " sheetId="2" r:id="rId6"/>
    <sheet state="visible" name="MODELO LISTA DE COMPROBACION 2" sheetId="3" r:id="rId7"/>
    <sheet state="visible" name="MODELO DE LISTA DE COMPROBACION" sheetId="4" r:id="rId8"/>
    <sheet state="visible" name="RECOMENDACIONES - 1" sheetId="5" r:id="rId9"/>
    <sheet state="visible" name="RECOMENDACIONES - 2" sheetId="6" r:id="rId10"/>
    <sheet state="visible" name="RECOMENDACIONES - 3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jeny ruiz:
Es importante ingresar el archivo plano en formato excel para el cliente y el desarrollador</t>
      </text>
    </comment>
    <comment authorId="0" ref="C67">
      <text>
        <t xml:space="preserve">jeny ruiz:
Trata todos los asuntos relevantes</t>
      </text>
    </comment>
    <comment authorId="0" ref="C34">
      <text>
        <t xml:space="preserve">jeny ruiz:
Sin contradicciones
</t>
      </text>
    </comment>
    <comment authorId="0" ref="K9">
      <text>
        <t xml:space="preserve">jeny ruiz:
Es importante ingresar el archivo plano en formato excel para el cliente y el desarrollador</t>
      </text>
    </comment>
    <comment authorId="0" ref="C63">
      <text>
        <t xml:space="preserve">jeny ruiz:
Sin contradicciones
</t>
      </text>
    </comment>
    <comment authorId="0" ref="C30">
      <text>
        <t xml:space="preserve">jeny ruiz:
Ponderado por importancia o prioridad</t>
      </text>
    </comment>
    <comment authorId="0" ref="C59">
      <text>
        <t xml:space="preserve">jeny ruiz:
Ponderado por importancia o prioridad</t>
      </text>
    </comment>
    <comment authorId="0" ref="C51">
      <text>
        <t xml:space="preserve">jeny ruiz:
Puede ser implementado  y desarrollado en las condiciones actuales(tiempo, Presupuest,, orgtanizaciòn, ect)</t>
      </text>
    </comment>
    <comment authorId="0" ref="C18">
      <text>
        <t xml:space="preserve">jeny ruiz:
Trata todos los asuntos relevantes</t>
      </text>
    </comment>
    <comment authorId="0" ref="C47">
      <text>
        <t xml:space="preserve">jeny ruiz:
Toda nueva información  ha sido incorporada</t>
      </text>
    </comment>
    <comment authorId="0" ref="C14">
      <text>
        <t xml:space="preserve">jeny ruiz:
Sin contradicciones
</t>
      </text>
    </comment>
    <comment authorId="0" ref="C10">
      <text>
        <t xml:space="preserve">jeny ruiz:
Ponderado por importancia o prioridad</t>
      </text>
    </comment>
    <comment authorId="0" ref="C39">
      <text>
        <t xml:space="preserve">jeny ruiz:
Para todos los interesados dependiendo  de la fase del proyecto podrían estar involucrados  distintos implicados,(Glosario de tèrminos)</t>
      </text>
    </comment>
    <comment authorId="0" ref="C68">
      <text>
        <t xml:space="preserve">jeny ruiz:
Para todos los interesados dependiendo  de la fase del proyecto podrían estar involucrados  distintos implicados,(Glosario de tèrminos)</t>
      </text>
    </comment>
    <comment authorId="0" ref="C35">
      <text>
        <t xml:space="preserve">jeny ruiz:
Su cumplimiento o no cumplimiento puede der probado con un esfuerzo razonable</t>
      </text>
    </comment>
    <comment authorId="0" ref="C64">
      <text>
        <t xml:space="preserve">jeny ruiz:
Su cumplimiento o no cumplimiento puede der probado con un esfuerzo razonable</t>
      </text>
    </comment>
    <comment authorId="0" ref="C31">
      <text>
        <t xml:space="preserve">jeny ruiz:
Todos los lectores comprenden de la misma manera, sólo una interpretación</t>
      </text>
    </comment>
    <comment authorId="0" ref="C60">
      <text>
        <t xml:space="preserve">jeny ruiz:
Todos los lectores comprenden de la misma manera, sólo una interpretación</t>
      </text>
    </comment>
    <comment authorId="0" ref="E27">
      <text>
        <t xml:space="preserve">jeny ruiz:
Control del nivel de acuedo entre las partes Cliente y Desarrollador</t>
      </text>
    </comment>
    <comment authorId="0" ref="F27">
      <text>
        <t xml:space="preserve">jeny ruiz:
La información contenida en memoria se utiliza para actualizar los campos de la base de datos.</t>
      </text>
    </comment>
    <comment authorId="0" ref="E56">
      <text>
        <t xml:space="preserve">jeny ruiz:
Control del nivel de acuedo entre las partes Cliente y Desarrollador</t>
      </text>
    </comment>
    <comment authorId="0" ref="F56">
      <text>
        <t xml:space="preserve">jeny ruiz:
jeny ruiz:
Posterior a la actualización, se guardaran automáticamente el nombre de usuario, fecha, hora, registro antiguo, registro nuevo.</t>
      </text>
    </comment>
    <comment authorId="0" ref="C52">
      <text>
        <t xml:space="preserve">jeny ruiz:
El origen del requisito y sus relaciones con otros requisitos  están claros.</t>
      </text>
    </comment>
    <comment authorId="0" ref="C19">
      <text>
        <t xml:space="preserve">jeny ruiz:
Para todos los interesados dependiendo  de la fase del proyecto podrían estar involucrados  distintos implicados,(Glosario de tèrminos)</t>
      </text>
    </comment>
    <comment authorId="0" ref="C48">
      <text>
        <t xml:space="preserve">jeny ruiz:
Refleja las espectativas  del implicado
</t>
      </text>
    </comment>
    <comment authorId="0" ref="C15">
      <text>
        <t xml:space="preserve">jeny ruiz:
Su cumplimiento o no cumplimiento puede der probado con un esfuerzo razonable</t>
      </text>
    </comment>
    <comment authorId="0" ref="C44">
      <text>
        <t xml:space="preserve">jeny ruiz:
Todos los interesados reconocen que el  requisito es correcto y relevante
</t>
      </text>
    </comment>
    <comment authorId="0" ref="C11">
      <text>
        <t xml:space="preserve">jeny ruiz:
Todos los lectores comprenden de la misma manera, sólo una interpretación</t>
      </text>
    </comment>
    <comment authorId="0" ref="F44">
      <text>
        <t xml:space="preserve">jeny ruiz:
Es importante ingresar el archivo plano en formato excel para el cliente y el desarrollador</t>
      </text>
    </comment>
    <comment authorId="0" ref="G44">
      <text>
        <t xml:space="preserve">jeny ruiz:
Es importante ingresar el archivo plano en formato excel para el cliente y el desarrollador</t>
      </text>
    </comment>
    <comment authorId="0" ref="E7">
      <text>
        <t xml:space="preserve">jeny ruiz:
Control del nivel de acuedo entre las partes Cliente y Desarrollador</t>
      </text>
    </comment>
    <comment authorId="0" ref="F7">
      <text>
        <t xml:space="preserve">jeny ruiz:
La información contenida en memoria se utiliza para actualizar los campos de la base de datos.</t>
      </text>
    </comment>
    <comment authorId="0" ref="C36">
      <text>
        <t xml:space="preserve">jeny ruiz:
Puede ser implementado  y desarrollado en las condiciones actuales(tiempo, Presupuest,, orgtanizaciòn, ect)</t>
      </text>
    </comment>
    <comment authorId="0" ref="G7">
      <text>
        <t xml:space="preserve">jeny ruiz:
Control del nivel de acuedo entre las partes Cliente y Desarrollador</t>
      </text>
    </comment>
    <comment authorId="0" ref="I7">
      <text>
        <t xml:space="preserve">jeny ruiz:
Se guarda en un archivo Excel los registros que dieron un problema en la actualización.</t>
      </text>
    </comment>
    <comment authorId="0" ref="C65">
      <text>
        <t xml:space="preserve">jeny ruiz:
Puede ser implementado  y desarrollado en las condiciones actuales(tiempo, Presupuest,, orgtanizaciòn, ect)</t>
      </text>
    </comment>
    <comment authorId="0" ref="J7">
      <text>
        <t xml:space="preserve">jeny ruiz:
Control del nivel de acuedo entre las partes Cliente y Desarrollador</t>
      </text>
    </comment>
    <comment authorId="0" ref="C32">
      <text>
        <t xml:space="preserve">jeny ruiz:
Toda nueva información  ha sido incorporada</t>
      </text>
    </comment>
    <comment authorId="0" ref="K7">
      <text>
        <t xml:space="preserve">jeny ruiz:
jeny ruiz:
Posterior a la actualización, se guardaran automáticamente el nombre de usuario, fecha, hora, registro antiguo, registro nuevo.</t>
      </text>
    </comment>
    <comment authorId="0" ref="C61">
      <text>
        <t xml:space="preserve">jeny ruiz:
Toda nueva información  ha sido incorporada</t>
      </text>
    </comment>
    <comment authorId="0" ref="C53">
      <text>
        <t xml:space="preserve">jeny ruiz:
Trata todos los asuntos relevantes</t>
      </text>
    </comment>
    <comment authorId="0" ref="C49">
      <text>
        <t xml:space="preserve">jeny ruiz:
Sin contradicciones
</t>
      </text>
    </comment>
    <comment authorId="0" ref="C16">
      <text>
        <t xml:space="preserve">jeny ruiz:
Puede ser implementado  y desarrollado en las condiciones actuales(tiempo, Presupuest,, orgtanizaciòn, ect)</t>
      </text>
    </comment>
    <comment authorId="0" ref="C45">
      <text>
        <t xml:space="preserve">jeny ruiz:
Ponderado por importancia o prioridad</t>
      </text>
    </comment>
    <comment authorId="0" ref="C12">
      <text>
        <t xml:space="preserve">jeny ruiz:
Toda nueva información  ha sido incorporada</t>
      </text>
    </comment>
    <comment authorId="0" ref="C37">
      <text>
        <t xml:space="preserve">jeny ruiz:
El origen del requisito y sus relaciones con otros requisitos  están claros.</t>
      </text>
    </comment>
    <comment authorId="0" ref="C66">
      <text>
        <t xml:space="preserve">jeny ruiz:
El origen del requisito y sus relaciones con otros requisitos  están claros.</t>
      </text>
    </comment>
    <comment authorId="0" ref="C33">
      <text>
        <t xml:space="preserve">jeny ruiz:
Refleja las espectativas  del implicado
</t>
      </text>
    </comment>
    <comment authorId="0" ref="C62">
      <text>
        <t xml:space="preserve">jeny ruiz:
Refleja las espectativas  del implicado
</t>
      </text>
    </comment>
    <comment authorId="0" ref="C29">
      <text>
        <t xml:space="preserve">jeny ruiz:
Todos los interesados reconocen que el  requisito es correcto y relevante
</t>
      </text>
    </comment>
    <comment authorId="0" ref="F29">
      <text>
        <t xml:space="preserve">jeny ruiz:
Es importante ingresar el archivo plano en formato excel para el cliente y el desarrollador</t>
      </text>
    </comment>
    <comment authorId="0" ref="C58">
      <text>
        <t xml:space="preserve">jeny ruiz:
Todos los interesados reconocen que el  requisito es correcto y relevante
</t>
      </text>
    </comment>
    <comment authorId="0" ref="F58">
      <text>
        <t xml:space="preserve">jeny ruiz:
Es importante ingresar el archivo plano en formato excel para el cliente y el desarrollador</t>
      </text>
    </comment>
    <comment authorId="0" ref="C54">
      <text>
        <t xml:space="preserve">jeny ruiz:
Para todos los interesados dependiendo  de la fase del proyecto podrían estar involucrados  distintos implicados,(Glosario de tèrminos)</t>
      </text>
    </comment>
    <comment authorId="0" ref="C50">
      <text>
        <t xml:space="preserve">jeny ruiz:
Su cumplimiento o no cumplimiento puede der probado con un esfuerzo razonable</t>
      </text>
    </comment>
    <comment authorId="0" ref="C17">
      <text>
        <t xml:space="preserve">jeny ruiz:
El origen del requisito y sus relaciones con otros requisitos  están claros.</t>
      </text>
    </comment>
    <comment authorId="0" ref="C46">
      <text>
        <t xml:space="preserve">jeny ruiz:
Todos los lectores comprenden de la misma manera, sólo una interpretación</t>
      </text>
    </comment>
    <comment authorId="0" ref="C13">
      <text>
        <t xml:space="preserve">jeny ruiz:
Refleja las espectativas  del implicado
</t>
      </text>
    </comment>
    <comment authorId="0" ref="C9">
      <text>
        <t xml:space="preserve">jeny ruiz:
Todos los interesados reconocen que el  requisito es correcto y relevante
</t>
      </text>
    </comment>
    <comment authorId="0" ref="E42">
      <text>
        <t xml:space="preserve">jeny ruiz:
Control del nivel de acuedo entre las partes Cliente y Desarrollador</t>
      </text>
    </comment>
    <comment authorId="0" ref="F42">
      <text>
        <t xml:space="preserve">jeny ruiz:
Se guarda en un archivo Excel los registros que dieron un problema en la actualización.</t>
      </text>
    </comment>
    <comment authorId="0" ref="F9">
      <text>
        <t xml:space="preserve">jeny ruiz:
Es importante ingresar el archivo plano en formato excel para el cliente y el desarrollador</t>
      </text>
    </comment>
    <comment authorId="0" ref="C38">
      <text>
        <t xml:space="preserve">jeny ruiz:
Trata todos los asuntos relevantes</t>
      </text>
    </comment>
    <comment authorId="0" ref="G42">
      <text>
        <t xml:space="preserve">jeny ruiz:
Se guarda en un archivo Excel los registros que dieron un problema en la actualización.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sharedStrings.xml><?xml version="1.0" encoding="utf-8"?>
<sst xmlns="http://schemas.openxmlformats.org/spreadsheetml/2006/main" count="426" uniqueCount="108">
  <si>
    <t>MATRIZ PARA COMPROBACIÓN REQUERIMIENTOS DE CALIDAD DE PROYECTO ACADEMICO</t>
  </si>
  <si>
    <t>SISTEMA:</t>
  </si>
  <si>
    <t>Sistema de Gestión de Aforo (SGA)</t>
  </si>
  <si>
    <t>Requerimientos  Funcionales</t>
  </si>
  <si>
    <t>Nº</t>
  </si>
  <si>
    <t>CRITERIOS DE CALIDAD (Documento/Requerimientos)</t>
  </si>
  <si>
    <t>Status
Nivel de Acuerdo</t>
  </si>
  <si>
    <t xml:space="preserve">RF1 Capturar y sincronizar presencia </t>
  </si>
  <si>
    <t xml:space="preserve">RF2 Monitorear del aforo en tiempo real </t>
  </si>
  <si>
    <t>RF3 Recibir notificaciones de aforo</t>
  </si>
  <si>
    <t>Agreed</t>
  </si>
  <si>
    <t>OK</t>
  </si>
  <si>
    <t>1. Entrevistas a los actores
2. Minuta de la entrevista
3. Aceptación del prototipo no funcional por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</si>
  <si>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</si>
  <si>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</si>
  <si>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</si>
  <si>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</si>
  <si>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</si>
  <si>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</si>
  <si>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NOK</t>
  </si>
  <si>
    <t>1. No se han incorporado los últimos cambios pedidos luego del feedback realizado por el cliente</t>
  </si>
  <si>
    <t>1. No se han incorporado los últimos cambios cambios tras 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</si>
  <si>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</si>
  <si>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</si>
  <si>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</si>
  <si>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</si>
  <si>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 xml:space="preserve">1. Documentación basada en modelos: Diagrama de Casos de Uso
2. Usa términos definidos previamente.                                                    3. Palabras repetitivas.                                              </t>
  </si>
  <si>
    <t>Verifiable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</si>
  <si>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</si>
  <si>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</si>
  <si>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</si>
  <si>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</si>
  <si>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</si>
  <si>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Es claro el origen del requisito y sus relaciones con otros requisitos (matriz de trazabilidad cliente/casos de uso y casos de uso/casos de uso)                           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</si>
  <si>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</si>
  <si>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</si>
  <si>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Contiene toda la información necesaria (entradas, salidas, precondiciones, postcondiciones) para entender y diseñar la función.                                                                              2. Describe completamente la funcionalidad esperada.</t>
  </si>
  <si>
    <t>1. Contiene toda la información necesaria (entradas, salidas, precondiciones, postcondiciones) para entender y diseñar la función.                                2. Describe completamente la funcionalidad esperada.</t>
  </si>
  <si>
    <t>Understandability</t>
  </si>
  <si>
    <t>1. Se involucra al cliente
2. Existe glosario de términos</t>
  </si>
  <si>
    <t>1. Se involucra al cliente 
2.Uso de términos respaldado por un glosario de términos</t>
  </si>
  <si>
    <t xml:space="preserve">Sistema De Gestion de aforo </t>
  </si>
  <si>
    <t>FECHA:</t>
  </si>
  <si>
    <t>AUTOR:</t>
  </si>
  <si>
    <t>Josue Chango</t>
  </si>
  <si>
    <t>REQUERIMIENTOS EVALUADOS :</t>
  </si>
  <si>
    <t xml:space="preserve">RF2 Monitoreo del aforo en tiempo real 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</si>
  <si>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</si>
  <si>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</si>
  <si>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</si>
  <si>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</si>
  <si>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</si>
  <si>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</si>
  <si>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</si>
  <si>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</si>
  <si>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</si>
  <si>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</si>
  <si>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</si>
  <si>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</si>
  <si>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</si>
  <si>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 xml:space="preserve">            x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</si>
  <si>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</si>
  <si>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</si>
  <si>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</si>
  <si>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</si>
  <si>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</si>
  <si>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</si>
  <si>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</si>
  <si>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</si>
  <si>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</si>
  <si>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</si>
  <si>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</si>
  <si>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</si>
  <si>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x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</si>
  <si>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</si>
  <si>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</si>
  <si>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</si>
  <si>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</si>
  <si>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Sistema de Gestión de Aforo)</t>
  </si>
  <si>
    <t>Enrique Ortega</t>
  </si>
  <si>
    <t>PREGUNTA</t>
  </si>
  <si>
    <t>RECOMENDACIÓN</t>
  </si>
  <si>
    <t>¿Se ejecutan revisiones constantes del modelo lógico y se actualiza la matriz de trazabilidad para evitar contradicciones operativas?</t>
  </si>
  <si>
    <t>Se recomienda ejecutar revisiones constantes del modelo lógico y mantener la matriz de trazabilidad para evitar las contradicciones operativas.</t>
  </si>
  <si>
    <t>¿Se ha implementado un plan de aseguramiento de calidad que incluya hitos técnicos precisos y recursos financieros preasignados para verificar la implementación?</t>
  </si>
  <si>
    <t>Se sugiere implentar un plan de aseguramiento de calidad con hitos técnicos precisos y recursos financieros preasignados para verificar la implementación.</t>
  </si>
  <si>
    <t>¿Se ha redactado y firmado un acta de aceptación con los interesados para formalizar el alcance del proyecto?</t>
  </si>
  <si>
    <t>Se sugiere escribir un acta de aceptación con los interesados para formalizar el alcance del proyecto.</t>
  </si>
  <si>
    <t xml:space="preserve">                                         x</t>
  </si>
  <si>
    <t>¿Existe control de versiones e historial de cambios del documento?</t>
  </si>
  <si>
    <t>Se recomienda agregar al SRS una tabla de historial de cambios con las columnas Version, Fecha, Autor, Requisito afectado, Descripcion del cambio y Motivo, y trasladar ahi las notas CORRECCION, ACTUALIZACION y RESTAURADO hoy embebidas en el campo de Justificacion</t>
  </si>
  <si>
    <t>¿Las referencias internas apuntan a requisitos vigentes?</t>
  </si>
  <si>
    <t>Se recomienda realizar sesiones de validación y consenso con todos los interesados clave antes de cerrar la especificación de requerimientos, esto asegurará que los requerimientos reflejen las necesidades puntuales.</t>
  </si>
  <si>
    <t>Josué Guayasamín</t>
  </si>
  <si>
    <t xml:space="preserve">¿Se ha estimado el esfuerzo, el costo y el plazo necesarios para realizar RF-1.1 a RF-1.10
    (criterio Realizable)?
</t>
  </si>
  <si>
    <t>Se recomienda incorporar una tabla de estimacion por cada requisito  y un cronograma de alto nivel, incluyendo la Prueba de Concepto de campo como hito previo.</t>
  </si>
  <si>
    <t xml:space="preserve">¿Se han implementado las funciones requeridas?
</t>
  </si>
  <si>
    <t>Se recomienda incorporar al plan del proyecto una fase de implementacion y verificacion por modulo, asociando a cada requisito a sus criterios de aceptacion como casos de prueba con estado de ejecucion</t>
  </si>
  <si>
    <t xml:space="preserve"> ¿Los requerimientos funcionales estan sujetos a una unica interpretacion?
</t>
  </si>
  <si>
    <t>Se recomienda agregar a cada requisito una tabla de precondiciones y postcondiciones, con los estados validos y el esquema de la entidad de sesion de aforo</t>
  </si>
  <si>
    <t>¿Qué conflicto técnico se identificó entre los disparadores de notificaciones (`RF-3.1`, `RF-3.2`, `RF-3.3`) al ser parametrizables por el administrador, y cómo debemos evitarlo?</t>
  </si>
  <si>
    <t>Debemos implementar validaciones lógicas en la interfaz web de parametrización (RF-8.2) que impidan físicamente al Gerente guardar un umbral de descongestión que sea mayor o igual al umbral de saturación u horas pico. De esta forma, evitamos que configuraciones erróneas del usuario generen bucles o notificaciones contradictorias en el servidor.</t>
  </si>
  <si>
    <t>¿Qué omisión de estructura cometimos en la documentación de la regla anti-spam (`RF-3.4`) y la sugerencia de horarios (`RF-3.5`), y cómo debemos corregirla?</t>
  </si>
  <si>
    <t>Debemos  redactar e incorporar formalmente en el SRS los Criterios de Aceptación en formato Dado / Cuando / Entonces (Given / When / Then) para `RF-3.4` (verificando el límite de máximo 2 notificaciones/día con espacio de 2 horas) y `RF-3.5`. Ningún requisito del Módulo 3 debe quedar solo con descripción narrativa.</t>
  </si>
  <si>
    <t>¿Qué ambigüedad semántica o matemática existe entre la descripción de la notificación de afluencia (`RF-3.1`) y su criterio de aceptación `CA-01`?</t>
  </si>
  <si>
    <t>Debemos estandarizar la regla matemática de disparo en todo el documento, decidiéndonos por una sola expresión (`≥ 80%` o &gt; 80%`). Es necesario corregir el texto para que tanto la descripción narrativa como el escenario de prueba utilicen exactamente la misma condición sin margen de duda para el programador o el tester.</t>
  </si>
  <si>
    <t>¿Qué riesgo de aceptación existe al haber diseñado la frecuencia de notificaciones push sin consultar directamente el nivel de tolerancia de los socios del gimnasio?</t>
  </si>
  <si>
    <t>Debemos añadir en la App Móvil una pantalla de preferencias de notificación (canales  opt-in / opt-out ) para que el cliente tenga el control de activar o desactivar las alertas proactivas, y realizar una prueba piloto (User Acceptance Testing) con un grupo reducido de socios para medir la tasa de rechazo antes del lanzamiento masivo.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</si>
</sst>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6.0"/>
      <color rgb="FFFFFFFF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theme="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ill="1" applyFont="1">
      <alignment horizontal="left" readingOrder="0" shrinkToFit="0" vertical="center" wrapText="1"/>
    </xf>
    <xf borderId="0" fillId="0" fontId="8" numFmtId="0" xfId="0" applyFont="1"/>
    <xf borderId="7" fillId="3" fontId="11" numFmtId="0" xfId="0" applyAlignment="1" applyBorder="1" applyFill="1" applyFont="1">
      <alignment shrinkToFit="0" vertical="center" wrapText="1"/>
    </xf>
    <xf borderId="1" fillId="3" fontId="12" numFmtId="0" xfId="0" applyAlignment="1" applyBorder="1" applyFill="1" applyFont="1">
      <alignment horizontal="center" readingOrder="0" shrinkToFit="0" vertical="center" wrapText="1"/>
    </xf>
    <xf borderId="7" fillId="4" fontId="10" numFmtId="0" xfId="0" applyAlignment="1" applyBorder="1" applyFill="1" applyFont="1">
      <alignment horizontal="center"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ill="1" applyFont="1">
      <alignment horizontal="left" shrinkToFit="0" vertical="center" wrapText="1"/>
    </xf>
    <xf borderId="7" fillId="6" fontId="10" numFmtId="0" xfId="0" applyAlignment="1" applyBorder="1" applyFill="1" applyFont="1">
      <alignment horizontal="center" readingOrder="0" shrinkToFit="0" vertical="center" wrapText="1"/>
    </xf>
    <xf borderId="7" fillId="7" fontId="10" numFmtId="0" xfId="0" applyAlignment="1" applyBorder="1" applyFill="1" applyFont="1">
      <alignment horizontal="center" readingOrder="0" shrinkToFit="0" vertical="center" wrapText="1"/>
    </xf>
    <xf borderId="13" fillId="3" fontId="11" numFmtId="0" xfId="0" applyAlignment="1" applyBorder="1" applyFill="1" applyFont="1">
      <alignment horizontal="left" shrinkToFit="0" vertical="center" wrapText="1"/>
    </xf>
    <xf borderId="0" fillId="0" fontId="13" numFmtId="0" xfId="0" applyFont="1"/>
    <xf borderId="0" fillId="0" fontId="8" numFmtId="0" xfId="0" applyAlignment="1" applyFont="1">
      <alignment vertical="top"/>
    </xf>
    <xf borderId="0" fillId="0" fontId="14" numFmtId="0" xfId="0" applyAlignment="1" applyFont="1">
      <alignment horizontal="left" vertical="top"/>
    </xf>
    <xf borderId="0" fillId="0" fontId="15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horizontal="left"/>
    </xf>
    <xf borderId="0" fillId="0" fontId="15" numFmtId="15" xfId="0" applyAlignment="1" applyFont="1" applyNumberForma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center" vertical="center"/>
    </xf>
    <xf borderId="7" fillId="8" fontId="10" numFmtId="0" xfId="0" applyAlignment="1" applyBorder="1" applyFill="1" applyFont="1">
      <alignment horizontal="center" readingOrder="0" shrinkToFit="0" vertical="center" wrapText="1"/>
    </xf>
    <xf borderId="12" fillId="9" fontId="15" numFmtId="0" xfId="0" applyAlignment="1" applyBorder="1" applyFill="1" applyFont="1">
      <alignment horizontal="center" readingOrder="0" shrinkToFit="0" vertical="center" wrapText="0"/>
    </xf>
    <xf borderId="14" fillId="9" fontId="15" numFmtId="0" xfId="0" applyAlignment="1" applyBorder="1" applyFill="1" applyFont="1">
      <alignment horizontal="center" readingOrder="0" shrinkToFit="0" vertical="center" wrapText="0"/>
    </xf>
    <xf borderId="15" fillId="9" fontId="15" numFmtId="0" xfId="0" applyAlignment="1" applyBorder="1" applyFill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left" vertical="center"/>
    </xf>
    <xf borderId="0" fillId="0" fontId="8" numFmtId="9" xfId="0" applyFont="1" applyNumberFormat="1"/>
    <xf borderId="16" fillId="0" fontId="16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4" numFmtId="0" xfId="0" applyAlignment="1" applyBorder="1" applyFont="1">
      <alignment horizontal="center" readingOrder="0" shrinkToFit="0" vertical="center" wrapText="0"/>
    </xf>
    <xf borderId="8" fillId="0" fontId="14" numFmtId="0" xfId="0" applyAlignment="1" applyBorder="1" applyFont="1">
      <alignment horizontal="center" readingOrder="0" shrinkToFit="0" vertical="center" wrapText="0"/>
    </xf>
    <xf borderId="8" fillId="0" fontId="10" numFmtId="0" xfId="0" applyAlignment="1" applyBorder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/>
    </xf>
    <xf borderId="7" fillId="10" fontId="17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readingOrder="0" shrinkToFit="0" wrapText="1"/>
    </xf>
    <xf borderId="7" fillId="0" fontId="8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7" fillId="0" fontId="8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9">
    <tableStyle count="4" pivot="0" name="MODELO LISTA DE COMPROBACION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LISTA DE COMPROBACION 2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LISTA DE COMPROBACION 2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MODELO LISTA DE COMPROBACION 1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LISTA DE COMPROBACION 1 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LISTA DE COMPROBACION 1 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MODELO DE LISTA DE COMPROB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DE LISTA DE COMPROBACION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DE LISTA DE COMPROBACION-style 3">
      <tableStyleElement dxfId="8" type="headerRow"/>
      <tableStyleElement dxfId="9" type="firstRowStripe"/>
      <tableStyleElement dxfId="3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1 '!$B$41:$B$43</c:f>
            </c:strRef>
          </c:cat>
          <c:val>
            <c:numRef>
              <c:f>'MODELO LISTA DE COMPROBACION 1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2'!$B$41:$B$43</c:f>
            </c:strRef>
          </c:cat>
          <c:val>
            <c:numRef>
              <c:f>'MODELO LISTA DE COMPROBACION 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DE LISTA DE COMPROBACION'!$B$41:$B$43</c:f>
            </c:strRef>
          </c:cat>
          <c:val>
            <c:numRef>
              <c:f>'MODELO DE LISTA DE COMPROBACION'!$C$41:$C$43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6" displayName="Table_1" name="Table_1" id="4">
  <tableColumns count="4">
    <tableColumn name="No." id="1"/>
    <tableColumn name="Pregunta" id="2"/>
    <tableColumn name="SI" id="3"/>
    <tableColumn name="NO " id="4"/>
  </tableColumns>
  <tableStyleInfo name="MODELO LISTA DE COMPROBACION 1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5">
  <tableColumns count="4">
    <tableColumn name="No." id="1"/>
    <tableColumn name="Pregunta" id="2"/>
    <tableColumn name="SI" id="3"/>
    <tableColumn name="NO " id="4"/>
  </tableColumns>
  <tableStyleInfo name="MODELO LISTA DE COMPROBACION 1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6">
  <tableColumns count="4">
    <tableColumn name="No." id="1"/>
    <tableColumn name="Pregunta" id="2"/>
    <tableColumn name="SI" id="3"/>
    <tableColumn name="NO " id="4"/>
  </tableColumns>
  <tableStyleInfo name="MODELO LISTA DE COMPROBACION 1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" name="Table" id="1">
  <tableColumns count="4">
    <tableColumn name="No." id="1"/>
    <tableColumn name="Pregunta" id="2"/>
    <tableColumn name="SI" id="3"/>
    <tableColumn name="NO " id="4"/>
  </tableColumns>
  <tableStyleInfo name="MODELO LISTA DE COMPROBACION 2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2">
  <tableColumns count="4">
    <tableColumn name="No." id="1"/>
    <tableColumn name="Pregunta" id="2"/>
    <tableColumn name="SI" id="3"/>
    <tableColumn name="NO " id="4"/>
  </tableColumns>
  <tableStyleInfo name="MODELO LISTA DE COMPROBACION 2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4" name="Table_4" id="3">
  <tableColumns count="4">
    <tableColumn name="No." id="1"/>
    <tableColumn name="Pregunta" id="2"/>
    <tableColumn name="SI" id="3"/>
    <tableColumn name="NO " id="4"/>
  </tableColumns>
  <tableStyleInfo name="MODELO LISTA DE COMPROBACION 2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7">
  <tableColumns count="4">
    <tableColumn name="No." id="1"/>
    <tableColumn name="Pregunta" id="2"/>
    <tableColumn name="SI" id="3"/>
    <tableColumn name="NO " id="4"/>
  </tableColumns>
  <tableStyleInfo name="MODELO DE LISTA DE COMPROBACION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MODELO DE LISTA DE COMPROBACION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MODELO DE LISTA DE COMPROBACIO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6.43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6.57"/>
    <col customWidth="1" min="10" max="10" width="9.86"/>
    <col customWidth="1" min="11" max="11" width="44.29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 t="s">
        <v>6</v>
      </c>
      <c r="H7" s="13">
        <v>100.0</v>
      </c>
      <c r="I7" s="12" t="s">
        <v>8</v>
      </c>
      <c r="J7" s="11" t="s">
        <v>6</v>
      </c>
      <c r="K7" s="12" t="s">
        <v>9</v>
      </c>
    </row>
    <row r="8" ht="60.0" customHeight="1">
      <c r="B8" s="14"/>
      <c r="C8" s="15"/>
      <c r="D8" s="16"/>
      <c r="E8" s="14"/>
      <c r="F8" s="14"/>
      <c r="G8" s="14"/>
      <c r="H8" s="13">
        <v>0.0</v>
      </c>
      <c r="I8" s="14"/>
      <c r="J8" s="14"/>
      <c r="K8" s="14"/>
    </row>
    <row r="9" ht="18.0" customHeight="1">
      <c r="B9" s="17">
        <v>1.0</v>
      </c>
      <c r="C9" s="18" t="s">
        <v>10</v>
      </c>
      <c r="D9" s="7"/>
      <c r="E9" s="19" t="s">
        <v>11</v>
      </c>
      <c r="F9" s="20" t="s">
        <v>12</v>
      </c>
      <c r="G9" s="19" t="s">
        <v>11</v>
      </c>
      <c r="H9" s="21">
        <v>1.0</v>
      </c>
      <c r="I9" s="20" t="s">
        <v>12</v>
      </c>
      <c r="J9" s="19" t="s">
        <v>11</v>
      </c>
      <c r="K9" s="20" t="s">
        <v>12</v>
      </c>
    </row>
    <row r="10" ht="18.0" customHeight="1">
      <c r="B10" s="17">
        <v>2.0</v>
      </c>
      <c r="C10" s="18" t="s">
        <v>13</v>
      </c>
      <c r="D10" s="7"/>
      <c r="E10" s="19" t="s">
        <v>11</v>
      </c>
      <c r="F10" s="22" t="s">
        <v>14</v>
      </c>
      <c r="G10" s="19" t="s">
        <v>11</v>
      </c>
      <c r="I10" s="22" t="s">
        <v>14</v>
      </c>
      <c r="J10" s="19" t="s">
        <v>11</v>
      </c>
      <c r="K10" s="22" t="s">
        <v>14</v>
      </c>
    </row>
    <row r="11" ht="18.0" customHeight="1">
      <c r="B11" s="17">
        <v>3.0</v>
      </c>
      <c r="C11" s="23" t="s">
        <v>15</v>
      </c>
      <c r="D11" s="7"/>
      <c r="E11" s="24" t="s">
        <v>11</v>
      </c>
      <c r="F11" s="22" t="s">
        <v>16</v>
      </c>
      <c r="G11" s="19" t="s">
        <v>11</v>
      </c>
      <c r="I11" s="22" t="s">
        <v>16</v>
      </c>
      <c r="J11" s="25" t="s">
        <v>11</v>
      </c>
      <c r="K11" s="22" t="s">
        <v>16</v>
      </c>
    </row>
    <row r="12" ht="18.0" customHeight="1">
      <c r="B12" s="17">
        <v>4.0</v>
      </c>
      <c r="C12" s="18" t="s">
        <v>17</v>
      </c>
      <c r="D12" s="7"/>
      <c r="E12" s="24" t="s">
        <v>11</v>
      </c>
      <c r="F12" s="26" t="s">
        <v>18</v>
      </c>
      <c r="G12" s="27" t="s">
        <v>19</v>
      </c>
      <c r="I12" s="26" t="s">
        <v>20</v>
      </c>
      <c r="J12" s="25" t="s">
        <v>11</v>
      </c>
      <c r="K12" s="26" t="s">
        <v>21</v>
      </c>
    </row>
    <row r="13" ht="18.0" customHeight="1">
      <c r="B13" s="17">
        <v>5.0</v>
      </c>
      <c r="C13" s="18" t="s">
        <v>22</v>
      </c>
      <c r="D13" s="7"/>
      <c r="E13" s="24" t="s">
        <v>11</v>
      </c>
      <c r="F13" s="26" t="s">
        <v>23</v>
      </c>
      <c r="G13" s="24" t="s">
        <v>11</v>
      </c>
      <c r="I13" s="26" t="s">
        <v>23</v>
      </c>
      <c r="J13" s="24" t="s">
        <v>11</v>
      </c>
      <c r="K13" s="26" t="s">
        <v>23</v>
      </c>
    </row>
    <row r="14" ht="18.0" customHeight="1">
      <c r="B14" s="17">
        <v>6.0</v>
      </c>
      <c r="C14" s="23" t="s">
        <v>24</v>
      </c>
      <c r="D14" s="7"/>
      <c r="E14" s="24" t="s">
        <v>11</v>
      </c>
      <c r="F14" s="26" t="s">
        <v>25</v>
      </c>
      <c r="G14" s="24" t="s">
        <v>11</v>
      </c>
      <c r="I14" s="26" t="s">
        <v>26</v>
      </c>
      <c r="J14" s="24" t="s">
        <v>11</v>
      </c>
      <c r="K14" s="26" t="s">
        <v>26</v>
      </c>
    </row>
    <row r="15" ht="18.0" customHeight="1">
      <c r="B15" s="17">
        <v>7.0</v>
      </c>
      <c r="C15" s="18" t="s">
        <v>27</v>
      </c>
      <c r="D15" s="7"/>
      <c r="E15" s="24" t="s">
        <v>11</v>
      </c>
      <c r="F15" s="26" t="s">
        <v>28</v>
      </c>
      <c r="G15" s="24" t="s">
        <v>11</v>
      </c>
      <c r="I15" s="26" t="s">
        <v>28</v>
      </c>
      <c r="J15" s="28" t="s">
        <v>11</v>
      </c>
      <c r="K15" s="26" t="s">
        <v>28</v>
      </c>
    </row>
    <row r="16" ht="18.0" customHeight="1">
      <c r="B16" s="17">
        <v>8.0</v>
      </c>
      <c r="C16" s="18" t="s">
        <v>29</v>
      </c>
      <c r="D16" s="7"/>
      <c r="E16" s="24" t="s">
        <v>11</v>
      </c>
      <c r="F16" s="26" t="s">
        <v>30</v>
      </c>
      <c r="G16" s="27" t="s">
        <v>19</v>
      </c>
      <c r="I16" s="26" t="s">
        <v>30</v>
      </c>
      <c r="J16" s="25" t="s">
        <v>11</v>
      </c>
      <c r="K16" s="26" t="s">
        <v>30</v>
      </c>
    </row>
    <row r="17" ht="18.0" customHeight="1">
      <c r="B17" s="17">
        <v>9.0</v>
      </c>
      <c r="C17" s="18" t="s">
        <v>31</v>
      </c>
      <c r="D17" s="7"/>
      <c r="E17" s="24" t="s">
        <v>11</v>
      </c>
      <c r="F17" s="29" t="s">
        <v>32</v>
      </c>
      <c r="G17" s="24" t="s">
        <v>11</v>
      </c>
      <c r="I17" s="29" t="s">
        <v>32</v>
      </c>
      <c r="J17" s="24" t="s">
        <v>11</v>
      </c>
      <c r="K17" s="29" t="s">
        <v>33</v>
      </c>
    </row>
    <row r="18" ht="18.0" customHeight="1">
      <c r="B18" s="17">
        <v>10.0</v>
      </c>
      <c r="C18" s="18" t="s">
        <v>34</v>
      </c>
      <c r="D18" s="7"/>
      <c r="E18" s="24" t="s">
        <v>11</v>
      </c>
      <c r="F18" s="26" t="s">
        <v>35</v>
      </c>
      <c r="G18" s="24" t="s">
        <v>11</v>
      </c>
      <c r="I18" s="26" t="s">
        <v>36</v>
      </c>
      <c r="J18" s="25" t="s">
        <v>11</v>
      </c>
      <c r="K18" s="26" t="s">
        <v>37</v>
      </c>
    </row>
    <row r="19" ht="18.0" customHeight="1">
      <c r="B19" s="17">
        <v>11.0</v>
      </c>
      <c r="C19" s="18" t="s">
        <v>38</v>
      </c>
      <c r="D19" s="7"/>
      <c r="E19" s="24" t="s">
        <v>11</v>
      </c>
      <c r="F19" s="26" t="s">
        <v>39</v>
      </c>
      <c r="G19" s="24" t="s">
        <v>11</v>
      </c>
      <c r="I19" s="26" t="s">
        <v>40</v>
      </c>
      <c r="J19" s="24" t="s">
        <v>11</v>
      </c>
      <c r="K19" s="26" t="s">
        <v>40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B27" s="8" t="s">
        <v>4</v>
      </c>
      <c r="C27" s="9" t="s">
        <v>5</v>
      </c>
      <c r="D27" s="10"/>
      <c r="E27" s="11" t="s">
        <v>6</v>
      </c>
      <c r="F27" s="12" t="s">
        <v>7</v>
      </c>
    </row>
    <row r="28" ht="14.25" customHeight="1">
      <c r="B28" s="14"/>
      <c r="C28" s="15"/>
      <c r="D28" s="16"/>
      <c r="E28" s="14"/>
      <c r="F28" s="14"/>
    </row>
    <row r="29" ht="14.25" customHeight="1">
      <c r="B29" s="17">
        <v>1.0</v>
      </c>
      <c r="C29" s="18" t="s">
        <v>10</v>
      </c>
      <c r="D29" s="7"/>
      <c r="E29" s="19" t="s">
        <v>11</v>
      </c>
      <c r="F29" s="20" t="s">
        <v>12</v>
      </c>
    </row>
    <row r="30" ht="14.25" customHeight="1">
      <c r="B30" s="17">
        <v>2.0</v>
      </c>
      <c r="C30" s="18" t="s">
        <v>13</v>
      </c>
      <c r="D30" s="7"/>
      <c r="E30" s="19" t="s">
        <v>11</v>
      </c>
      <c r="F30" s="22" t="s">
        <v>14</v>
      </c>
    </row>
    <row r="31" ht="14.25" customHeight="1">
      <c r="B31" s="17">
        <v>3.0</v>
      </c>
      <c r="C31" s="23" t="s">
        <v>15</v>
      </c>
      <c r="D31" s="7"/>
      <c r="E31" s="24" t="s">
        <v>11</v>
      </c>
      <c r="F31" s="22" t="s">
        <v>16</v>
      </c>
    </row>
    <row r="32" ht="14.25" customHeight="1">
      <c r="B32" s="17">
        <v>4.0</v>
      </c>
      <c r="C32" s="18" t="s">
        <v>17</v>
      </c>
      <c r="D32" s="7"/>
      <c r="E32" s="24" t="s">
        <v>11</v>
      </c>
      <c r="F32" s="26" t="s">
        <v>18</v>
      </c>
    </row>
    <row r="33" ht="14.25" customHeight="1">
      <c r="B33" s="17">
        <v>5.0</v>
      </c>
      <c r="C33" s="18" t="s">
        <v>22</v>
      </c>
      <c r="D33" s="7"/>
      <c r="E33" s="24" t="s">
        <v>11</v>
      </c>
      <c r="F33" s="26" t="s">
        <v>23</v>
      </c>
    </row>
    <row r="34" ht="14.25" customHeight="1">
      <c r="B34" s="17">
        <v>6.0</v>
      </c>
      <c r="C34" s="23" t="s">
        <v>24</v>
      </c>
      <c r="D34" s="7"/>
      <c r="E34" s="24" t="s">
        <v>11</v>
      </c>
      <c r="F34" s="26" t="s">
        <v>25</v>
      </c>
    </row>
    <row r="35" ht="14.25" customHeight="1">
      <c r="B35" s="17">
        <v>7.0</v>
      </c>
      <c r="C35" s="18" t="s">
        <v>27</v>
      </c>
      <c r="D35" s="7"/>
      <c r="E35" s="24" t="s">
        <v>11</v>
      </c>
      <c r="F35" s="26" t="s">
        <v>28</v>
      </c>
    </row>
    <row r="36" ht="14.25" customHeight="1">
      <c r="B36" s="17">
        <v>8.0</v>
      </c>
      <c r="C36" s="18" t="s">
        <v>29</v>
      </c>
      <c r="D36" s="7"/>
      <c r="E36" s="24" t="s">
        <v>11</v>
      </c>
      <c r="F36" s="26" t="s">
        <v>30</v>
      </c>
    </row>
    <row r="37" ht="14.25" customHeight="1">
      <c r="B37" s="17">
        <v>9.0</v>
      </c>
      <c r="C37" s="18" t="s">
        <v>31</v>
      </c>
      <c r="D37" s="7"/>
      <c r="E37" s="24" t="s">
        <v>11</v>
      </c>
      <c r="F37" s="29" t="s">
        <v>32</v>
      </c>
    </row>
    <row r="38" ht="14.25" customHeight="1">
      <c r="B38" s="17">
        <v>10.0</v>
      </c>
      <c r="C38" s="18" t="s">
        <v>34</v>
      </c>
      <c r="D38" s="7"/>
      <c r="E38" s="24" t="s">
        <v>11</v>
      </c>
      <c r="F38" s="26" t="s">
        <v>35</v>
      </c>
    </row>
    <row r="39" ht="14.25" customHeight="1">
      <c r="B39" s="17">
        <v>11.0</v>
      </c>
      <c r="C39" s="18" t="s">
        <v>38</v>
      </c>
      <c r="D39" s="7"/>
      <c r="E39" s="24" t="s">
        <v>11</v>
      </c>
      <c r="F39" s="26" t="s">
        <v>39</v>
      </c>
    </row>
    <row r="40" ht="14.25" customHeight="1">
      <c r="C40" s="1"/>
    </row>
    <row r="41" ht="14.25" customHeight="1">
      <c r="C41" s="1"/>
    </row>
    <row r="42" ht="14.25" customHeight="1">
      <c r="B42" s="8" t="s">
        <v>4</v>
      </c>
      <c r="C42" s="9" t="s">
        <v>5</v>
      </c>
      <c r="D42" s="10"/>
      <c r="E42" s="11" t="s">
        <v>6</v>
      </c>
      <c r="F42" s="12" t="s">
        <v>8</v>
      </c>
      <c r="G42" s="30"/>
    </row>
    <row r="43" ht="14.25" customHeight="1">
      <c r="B43" s="14"/>
      <c r="C43" s="15"/>
      <c r="D43" s="16"/>
      <c r="E43" s="14"/>
      <c r="F43" s="14"/>
    </row>
    <row r="44" ht="14.25" customHeight="1">
      <c r="B44" s="17">
        <v>1.0</v>
      </c>
      <c r="C44" s="18" t="s">
        <v>10</v>
      </c>
      <c r="D44" s="7"/>
      <c r="E44" s="19" t="s">
        <v>11</v>
      </c>
      <c r="F44" s="20" t="s">
        <v>12</v>
      </c>
      <c r="G44" s="30"/>
    </row>
    <row r="45" ht="14.25" customHeight="1">
      <c r="B45" s="17">
        <v>2.0</v>
      </c>
      <c r="C45" s="18" t="s">
        <v>13</v>
      </c>
      <c r="D45" s="7"/>
      <c r="E45" s="19" t="s">
        <v>11</v>
      </c>
      <c r="F45" s="22" t="s">
        <v>14</v>
      </c>
    </row>
    <row r="46" ht="14.25" customHeight="1">
      <c r="B46" s="17">
        <v>3.0</v>
      </c>
      <c r="C46" s="23" t="s">
        <v>15</v>
      </c>
      <c r="D46" s="7"/>
      <c r="E46" s="19" t="s">
        <v>11</v>
      </c>
      <c r="F46" s="22" t="s">
        <v>16</v>
      </c>
    </row>
    <row r="47" ht="14.25" customHeight="1">
      <c r="B47" s="17">
        <v>4.0</v>
      </c>
      <c r="C47" s="18" t="s">
        <v>17</v>
      </c>
      <c r="D47" s="7"/>
      <c r="E47" s="27" t="s">
        <v>19</v>
      </c>
      <c r="F47" s="26" t="s">
        <v>20</v>
      </c>
    </row>
    <row r="48" ht="14.25" customHeight="1">
      <c r="B48" s="17">
        <v>5.0</v>
      </c>
      <c r="C48" s="18" t="s">
        <v>22</v>
      </c>
      <c r="D48" s="7"/>
      <c r="E48" s="24" t="s">
        <v>11</v>
      </c>
      <c r="F48" s="26" t="s">
        <v>23</v>
      </c>
    </row>
    <row r="49" ht="14.25" customHeight="1">
      <c r="B49" s="17">
        <v>6.0</v>
      </c>
      <c r="C49" s="23" t="s">
        <v>24</v>
      </c>
      <c r="D49" s="7"/>
      <c r="E49" s="24" t="s">
        <v>11</v>
      </c>
      <c r="F49" s="26" t="s">
        <v>26</v>
      </c>
    </row>
    <row r="50" ht="14.25" customHeight="1">
      <c r="B50" s="17">
        <v>7.0</v>
      </c>
      <c r="C50" s="18" t="s">
        <v>27</v>
      </c>
      <c r="D50" s="7"/>
      <c r="E50" s="24" t="s">
        <v>11</v>
      </c>
      <c r="F50" s="26" t="s">
        <v>28</v>
      </c>
    </row>
    <row r="51" ht="14.25" customHeight="1">
      <c r="B51" s="17">
        <v>8.0</v>
      </c>
      <c r="C51" s="18" t="s">
        <v>29</v>
      </c>
      <c r="D51" s="7"/>
      <c r="E51" s="27" t="s">
        <v>19</v>
      </c>
      <c r="F51" s="26" t="s">
        <v>30</v>
      </c>
    </row>
    <row r="52" ht="14.25" customHeight="1">
      <c r="B52" s="17">
        <v>9.0</v>
      </c>
      <c r="C52" s="18" t="s">
        <v>31</v>
      </c>
      <c r="D52" s="7"/>
      <c r="E52" s="24" t="s">
        <v>11</v>
      </c>
      <c r="F52" s="29" t="s">
        <v>32</v>
      </c>
    </row>
    <row r="53" ht="14.25" customHeight="1">
      <c r="B53" s="17">
        <v>10.0</v>
      </c>
      <c r="C53" s="18" t="s">
        <v>34</v>
      </c>
      <c r="D53" s="7"/>
      <c r="E53" s="24" t="s">
        <v>11</v>
      </c>
      <c r="F53" s="26" t="s">
        <v>36</v>
      </c>
    </row>
    <row r="54" ht="14.25" customHeight="1">
      <c r="B54" s="17">
        <v>11.0</v>
      </c>
      <c r="C54" s="18" t="s">
        <v>38</v>
      </c>
      <c r="D54" s="7"/>
      <c r="E54" s="24" t="s">
        <v>11</v>
      </c>
      <c r="F54" s="26" t="s">
        <v>40</v>
      </c>
    </row>
    <row r="55" ht="14.25" customHeight="1">
      <c r="C55" s="1"/>
    </row>
    <row r="56" ht="14.25" customHeight="1">
      <c r="B56" s="8" t="s">
        <v>4</v>
      </c>
      <c r="C56" s="9" t="s">
        <v>5</v>
      </c>
      <c r="D56" s="10"/>
      <c r="E56" s="11" t="s">
        <v>6</v>
      </c>
      <c r="F56" s="12" t="s">
        <v>9</v>
      </c>
    </row>
    <row r="57" ht="14.25" customHeight="1">
      <c r="B57" s="14"/>
      <c r="C57" s="15"/>
      <c r="D57" s="16"/>
      <c r="E57" s="14"/>
      <c r="F57" s="14"/>
    </row>
    <row r="58" ht="14.25" customHeight="1">
      <c r="B58" s="17">
        <v>1.0</v>
      </c>
      <c r="C58" s="18" t="s">
        <v>10</v>
      </c>
      <c r="D58" s="7"/>
      <c r="E58" s="19" t="s">
        <v>11</v>
      </c>
      <c r="F58" s="20" t="s">
        <v>12</v>
      </c>
    </row>
    <row r="59" ht="14.25" customHeight="1">
      <c r="B59" s="17">
        <v>2.0</v>
      </c>
      <c r="C59" s="18" t="s">
        <v>13</v>
      </c>
      <c r="D59" s="7"/>
      <c r="E59" s="19" t="s">
        <v>11</v>
      </c>
      <c r="F59" s="22" t="s">
        <v>14</v>
      </c>
    </row>
    <row r="60" ht="14.25" customHeight="1">
      <c r="B60" s="17">
        <v>3.0</v>
      </c>
      <c r="C60" s="23" t="s">
        <v>15</v>
      </c>
      <c r="D60" s="7"/>
      <c r="E60" s="25" t="s">
        <v>11</v>
      </c>
      <c r="F60" s="22" t="s">
        <v>16</v>
      </c>
    </row>
    <row r="61" ht="14.25" customHeight="1">
      <c r="B61" s="17">
        <v>4.0</v>
      </c>
      <c r="C61" s="18" t="s">
        <v>17</v>
      </c>
      <c r="D61" s="7"/>
      <c r="E61" s="25" t="s">
        <v>11</v>
      </c>
      <c r="F61" s="26" t="s">
        <v>21</v>
      </c>
    </row>
    <row r="62" ht="14.25" customHeight="1">
      <c r="B62" s="17">
        <v>5.0</v>
      </c>
      <c r="C62" s="18" t="s">
        <v>22</v>
      </c>
      <c r="D62" s="7"/>
      <c r="E62" s="24" t="s">
        <v>11</v>
      </c>
      <c r="F62" s="26" t="s">
        <v>23</v>
      </c>
    </row>
    <row r="63" ht="14.25" customHeight="1">
      <c r="B63" s="17">
        <v>6.0</v>
      </c>
      <c r="C63" s="23" t="s">
        <v>24</v>
      </c>
      <c r="D63" s="7"/>
      <c r="E63" s="24" t="s">
        <v>11</v>
      </c>
      <c r="F63" s="26" t="s">
        <v>26</v>
      </c>
    </row>
    <row r="64" ht="14.25" customHeight="1">
      <c r="B64" s="17">
        <v>7.0</v>
      </c>
      <c r="C64" s="18" t="s">
        <v>27</v>
      </c>
      <c r="D64" s="7"/>
      <c r="E64" s="38" t="s">
        <v>11</v>
      </c>
      <c r="F64" s="26" t="s">
        <v>28</v>
      </c>
    </row>
    <row r="65" ht="14.25" customHeight="1">
      <c r="B65" s="17">
        <v>8.0</v>
      </c>
      <c r="C65" s="18" t="s">
        <v>29</v>
      </c>
      <c r="D65" s="7"/>
      <c r="E65" s="25" t="s">
        <v>11</v>
      </c>
      <c r="F65" s="26" t="s">
        <v>30</v>
      </c>
    </row>
    <row r="66" ht="14.25" customHeight="1">
      <c r="B66" s="17">
        <v>9.0</v>
      </c>
      <c r="C66" s="18" t="s">
        <v>31</v>
      </c>
      <c r="D66" s="7"/>
      <c r="E66" s="24" t="s">
        <v>11</v>
      </c>
      <c r="F66" s="29" t="s">
        <v>33</v>
      </c>
    </row>
    <row r="67" ht="14.25" customHeight="1">
      <c r="B67" s="17">
        <v>10.0</v>
      </c>
      <c r="C67" s="18" t="s">
        <v>34</v>
      </c>
      <c r="D67" s="7"/>
      <c r="E67" s="25" t="s">
        <v>11</v>
      </c>
      <c r="F67" s="26" t="s">
        <v>37</v>
      </c>
    </row>
    <row r="68" ht="14.25" customHeight="1">
      <c r="B68" s="17">
        <v>11.0</v>
      </c>
      <c r="C68" s="18" t="s">
        <v>38</v>
      </c>
      <c r="D68" s="7"/>
      <c r="E68" s="24" t="s">
        <v>11</v>
      </c>
      <c r="F68" s="26" t="s">
        <v>40</v>
      </c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C35:D35"/>
    <mergeCell ref="C36:D36"/>
    <mergeCell ref="C37:D37"/>
    <mergeCell ref="C38:D38"/>
    <mergeCell ref="C39:D39"/>
    <mergeCell ref="B42:B43"/>
    <mergeCell ref="C42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B56:B57"/>
    <mergeCell ref="E56:E57"/>
    <mergeCell ref="F56:F57"/>
    <mergeCell ref="C64:D64"/>
    <mergeCell ref="C65:D65"/>
    <mergeCell ref="C66:D66"/>
    <mergeCell ref="C67:D67"/>
    <mergeCell ref="C68:D68"/>
    <mergeCell ref="C56:D57"/>
    <mergeCell ref="C58:D58"/>
    <mergeCell ref="C59:D59"/>
    <mergeCell ref="C60:D60"/>
    <mergeCell ref="C61:D61"/>
    <mergeCell ref="C62:D62"/>
    <mergeCell ref="C63:D63"/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7:B28"/>
    <mergeCell ref="E27:E28"/>
    <mergeCell ref="F27:F28"/>
    <mergeCell ref="C27:D28"/>
    <mergeCell ref="C29:D29"/>
    <mergeCell ref="C30:D30"/>
    <mergeCell ref="C31:D31"/>
    <mergeCell ref="C32:D32"/>
    <mergeCell ref="C33:D33"/>
    <mergeCell ref="C34:D34"/>
    <mergeCell ref="E42:E43"/>
    <mergeCell ref="F42:F43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4" width="49.14"/>
    <col customWidth="1" min="5" max="24" width="10.71"/>
  </cols>
  <sheetData>
    <row r="1" ht="51.0" customHeight="1">
      <c r="A1" s="31"/>
      <c r="B1" s="32" t="s">
        <v>1</v>
      </c>
      <c r="C1" s="33" t="s">
        <v>78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4.25" customHeight="1">
      <c r="B2" s="34" t="s">
        <v>42</v>
      </c>
      <c r="C2" s="35">
        <v>46227.0</v>
      </c>
    </row>
    <row r="3" ht="18.0" customHeight="1">
      <c r="B3" s="34" t="s">
        <v>43</v>
      </c>
      <c r="C3" s="36" t="s">
        <v>79</v>
      </c>
    </row>
    <row r="4" ht="14.25" customHeight="1">
      <c r="B4" s="34" t="s">
        <v>45</v>
      </c>
      <c r="C4" s="36" t="s">
        <v>7</v>
      </c>
    </row>
    <row r="5" ht="14.25" customHeight="1"/>
    <row r="6" ht="14.25" customHeight="1">
      <c r="A6" s="37" t="s">
        <v>47</v>
      </c>
    </row>
    <row r="7" ht="15.0" customHeight="1">
      <c r="A7" s="39" t="s">
        <v>48</v>
      </c>
      <c r="B7" s="40" t="s">
        <v>49</v>
      </c>
      <c r="C7" s="40" t="s">
        <v>50</v>
      </c>
      <c r="D7" s="41" t="s">
        <v>51</v>
      </c>
    </row>
    <row r="8" ht="14.25" customHeight="1">
      <c r="A8" s="42">
        <v>1.0</v>
      </c>
      <c r="B8" s="43" t="s">
        <v>52</v>
      </c>
      <c r="C8" s="44" t="s">
        <v>53</v>
      </c>
      <c r="D8" s="45"/>
    </row>
    <row r="9" ht="14.25" customHeight="1">
      <c r="A9" s="42">
        <v>2.0</v>
      </c>
      <c r="B9" s="43" t="s">
        <v>54</v>
      </c>
      <c r="C9" s="47" t="s">
        <v>60</v>
      </c>
      <c r="D9" s="44"/>
    </row>
    <row r="10" ht="14.25" customHeight="1">
      <c r="A10" s="42">
        <v>3.0</v>
      </c>
      <c r="B10" s="43" t="s">
        <v>55</v>
      </c>
      <c r="C10" s="44" t="s">
        <v>53</v>
      </c>
      <c r="D10" s="45"/>
    </row>
    <row r="11" ht="14.25" customHeight="1">
      <c r="A11" s="42">
        <v>4.0</v>
      </c>
      <c r="B11" s="43" t="s">
        <v>56</v>
      </c>
      <c r="C11" s="44" t="s">
        <v>53</v>
      </c>
      <c r="D11" s="45"/>
    </row>
    <row r="12" ht="14.25" customHeight="1">
      <c r="A12" s="42">
        <v>5.0</v>
      </c>
      <c r="B12" s="43" t="s">
        <v>57</v>
      </c>
      <c r="C12" s="44" t="s">
        <v>53</v>
      </c>
      <c r="D12" s="45"/>
    </row>
    <row r="13" ht="14.25" customHeight="1">
      <c r="A13" s="42">
        <v>6.0</v>
      </c>
      <c r="B13" s="43" t="s">
        <v>58</v>
      </c>
      <c r="C13" s="44" t="s">
        <v>53</v>
      </c>
      <c r="D13" s="45"/>
    </row>
    <row r="14" ht="14.25" customHeight="1">
      <c r="A14" s="42">
        <v>7.0</v>
      </c>
      <c r="B14" s="43" t="s">
        <v>59</v>
      </c>
      <c r="C14" s="44"/>
      <c r="D14" s="46" t="s">
        <v>53</v>
      </c>
    </row>
    <row r="15" ht="14.25" customHeight="1">
      <c r="A15" s="42">
        <v>8.0</v>
      </c>
      <c r="B15" s="43" t="s">
        <v>61</v>
      </c>
      <c r="C15" s="44" t="s">
        <v>53</v>
      </c>
      <c r="D15" s="45"/>
    </row>
    <row r="16" ht="14.25" customHeight="1">
      <c r="A16" s="48">
        <v>9.0</v>
      </c>
      <c r="B16" s="49" t="s">
        <v>62</v>
      </c>
      <c r="C16" s="50"/>
      <c r="D16" s="47" t="s">
        <v>88</v>
      </c>
    </row>
    <row r="17" ht="14.25" customHeight="1">
      <c r="A17" s="51" t="s">
        <v>63</v>
      </c>
      <c r="C17" s="21">
        <f>COUNTA('MODELO LISTA DE COMPROBACION 1 '!$C$8:$C$16)</f>
        <v>7</v>
      </c>
      <c r="D17" s="21">
        <f>COUNTA('MODELO LISTA DE COMPROBACION 1 '!$D$8:$D$16)</f>
        <v>2</v>
      </c>
    </row>
    <row r="18" ht="14.25" customHeight="1">
      <c r="A18" s="51" t="s">
        <v>64</v>
      </c>
      <c r="C18" s="52">
        <f t="shared" ref="C18:D18" si="1">C17/9</f>
        <v>0.7777777778</v>
      </c>
      <c r="D18" s="52">
        <f t="shared" si="1"/>
        <v>0.2222222222</v>
      </c>
    </row>
    <row r="19" ht="14.25" customHeight="1">
      <c r="A19" s="51"/>
      <c r="B19" s="51"/>
      <c r="C19" s="52"/>
      <c r="D19" s="21"/>
    </row>
    <row r="20" ht="14.25" customHeight="1">
      <c r="A20" s="53" t="s">
        <v>65</v>
      </c>
      <c r="B20" s="54"/>
      <c r="C20" s="54"/>
      <c r="D20" s="54"/>
    </row>
    <row r="21" ht="14.25" customHeight="1">
      <c r="A21" s="55" t="s">
        <v>48</v>
      </c>
      <c r="B21" s="56" t="s">
        <v>49</v>
      </c>
      <c r="C21" s="57" t="s">
        <v>50</v>
      </c>
      <c r="D21" s="58" t="s">
        <v>51</v>
      </c>
    </row>
    <row r="22" ht="14.25" customHeight="1">
      <c r="A22" s="42">
        <v>1.0</v>
      </c>
      <c r="B22" s="43" t="s">
        <v>66</v>
      </c>
      <c r="C22" s="50" t="s">
        <v>53</v>
      </c>
      <c r="D22" s="45"/>
    </row>
    <row r="23" ht="14.25" customHeight="1">
      <c r="A23" s="42">
        <v>2.0</v>
      </c>
      <c r="B23" s="43" t="s">
        <v>67</v>
      </c>
      <c r="C23" s="50" t="s">
        <v>53</v>
      </c>
      <c r="D23" s="45"/>
    </row>
    <row r="24" ht="14.25" customHeight="1">
      <c r="A24" s="42">
        <v>3.0</v>
      </c>
      <c r="B24" s="43" t="s">
        <v>68</v>
      </c>
      <c r="C24" s="50" t="s">
        <v>53</v>
      </c>
      <c r="D24" s="45"/>
    </row>
    <row r="25" ht="14.25" customHeight="1">
      <c r="A25" s="42">
        <v>4.0</v>
      </c>
      <c r="B25" s="43" t="s">
        <v>69</v>
      </c>
      <c r="C25" s="50" t="s">
        <v>53</v>
      </c>
      <c r="D25" s="45"/>
    </row>
    <row r="26" ht="14.25" customHeight="1">
      <c r="A26" s="48">
        <v>5.0</v>
      </c>
      <c r="B26" s="49" t="s">
        <v>70</v>
      </c>
      <c r="C26" s="50" t="s">
        <v>53</v>
      </c>
      <c r="D26" s="59"/>
    </row>
    <row r="27" ht="14.25" customHeight="1">
      <c r="A27" s="51" t="s">
        <v>63</v>
      </c>
      <c r="C27" s="21">
        <f>COUNTA('MODELO LISTA DE COMPROBACION 1 '!$C$22:$C$26)</f>
        <v>5</v>
      </c>
      <c r="D27" s="21">
        <f>COUNTA('MODELO LISTA DE COMPROBACION 1 '!$D$22:$D$26)</f>
        <v>0</v>
      </c>
    </row>
    <row r="28" ht="14.25" customHeight="1">
      <c r="A28" s="51" t="s">
        <v>64</v>
      </c>
      <c r="C28" s="52">
        <f t="shared" ref="C28:D28" si="2">C27/5</f>
        <v>1</v>
      </c>
      <c r="D28" s="52">
        <f t="shared" si="2"/>
        <v>0</v>
      </c>
    </row>
    <row r="29" ht="14.25" customHeight="1">
      <c r="A29" s="51"/>
      <c r="B29" s="51"/>
      <c r="C29" s="52"/>
      <c r="D29" s="21"/>
    </row>
    <row r="30" ht="14.25" customHeight="1">
      <c r="A30" s="37" t="s">
        <v>71</v>
      </c>
    </row>
    <row r="31" ht="14.25" customHeight="1">
      <c r="A31" s="55" t="s">
        <v>48</v>
      </c>
      <c r="B31" s="56" t="s">
        <v>49</v>
      </c>
      <c r="C31" s="57" t="s">
        <v>50</v>
      </c>
      <c r="D31" s="58" t="s">
        <v>51</v>
      </c>
    </row>
    <row r="32" ht="14.25" customHeight="1">
      <c r="A32" s="42">
        <v>1.0</v>
      </c>
      <c r="B32" s="43" t="s">
        <v>72</v>
      </c>
      <c r="C32" s="50"/>
      <c r="D32" s="60" t="s">
        <v>73</v>
      </c>
    </row>
    <row r="33" ht="14.25" customHeight="1">
      <c r="A33" s="42">
        <v>2.0</v>
      </c>
      <c r="B33" s="43" t="s">
        <v>74</v>
      </c>
      <c r="C33" s="50" t="s">
        <v>53</v>
      </c>
      <c r="D33" s="50"/>
    </row>
    <row r="34" ht="14.25" customHeight="1">
      <c r="A34" s="48">
        <v>3.0</v>
      </c>
      <c r="B34" s="49" t="s">
        <v>75</v>
      </c>
      <c r="C34" s="50" t="s">
        <v>53</v>
      </c>
      <c r="D34" s="50"/>
    </row>
    <row r="35" ht="14.25" customHeight="1">
      <c r="A35" s="51" t="s">
        <v>63</v>
      </c>
      <c r="C35" s="21">
        <f>COUNTA('MODELO LISTA DE COMPROBACION 1 '!$C$32:$C$34)</f>
        <v>2</v>
      </c>
      <c r="D35" s="21">
        <f>COUNTA('MODELO LISTA DE COMPROBACION 1 '!$D$32:$D$34)</f>
        <v>1</v>
      </c>
    </row>
    <row r="36" ht="14.25" customHeight="1">
      <c r="A36" s="51" t="s">
        <v>64</v>
      </c>
      <c r="C36" s="52">
        <f t="shared" ref="C36:D36" si="3">C35/3</f>
        <v>0.6666666667</v>
      </c>
      <c r="D36" s="52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1" t="s">
        <v>76</v>
      </c>
    </row>
    <row r="41" ht="30.0" customHeight="1">
      <c r="B41" s="31" t="s">
        <v>77</v>
      </c>
      <c r="C41" s="21">
        <v>89.0</v>
      </c>
    </row>
    <row r="42" ht="30.0" customHeight="1">
      <c r="B42" s="31" t="s">
        <v>65</v>
      </c>
      <c r="C42" s="21">
        <v>100.0</v>
      </c>
    </row>
    <row r="43" ht="30.0" customHeight="1">
      <c r="B43" s="31" t="s">
        <v>71</v>
      </c>
      <c r="C43" s="21">
        <v>100.0</v>
      </c>
    </row>
    <row r="44" ht="14.25" customHeight="1">
      <c r="C44" s="21"/>
    </row>
    <row r="45" ht="14.25" customHeight="1">
      <c r="C45" s="21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22:D26">
    <cfRule type="containsText" dxfId="15" priority="5" operator="containsText" text="X">
      <formula>NOT(ISERROR(SEARCH(("X"),(C22))))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8:D16 C22:C26 C32:D34">
    <cfRule type="containsText" dxfId="15" priority="7" operator="containsText" text="X">
      <formula>NOT(ISERROR(SEARCH(("X"),(C8))))</formula>
    </cfRule>
  </conditionalFormatting>
  <conditionalFormatting sqref="C32:D34">
    <cfRule type="containsText" dxfId="15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4" width="48.57"/>
    <col customWidth="1" min="5" max="24" width="10.71"/>
  </cols>
  <sheetData>
    <row r="1" ht="51.0" customHeight="1">
      <c r="A1" s="31"/>
      <c r="B1" s="32" t="s">
        <v>1</v>
      </c>
      <c r="C1" s="33" t="s">
        <v>41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24.0" customHeight="1">
      <c r="B2" s="34" t="s">
        <v>42</v>
      </c>
      <c r="C2" s="35">
        <v>46301.0</v>
      </c>
    </row>
    <row r="3" ht="14.25" customHeight="1">
      <c r="B3" s="34" t="s">
        <v>43</v>
      </c>
      <c r="C3" s="36" t="s">
        <v>44</v>
      </c>
    </row>
    <row r="4" ht="14.25" customHeight="1">
      <c r="B4" s="34" t="s">
        <v>45</v>
      </c>
      <c r="C4" s="36" t="s">
        <v>46</v>
      </c>
    </row>
    <row r="5" ht="14.25" customHeight="1"/>
    <row r="6" ht="14.25" customHeight="1">
      <c r="A6" s="37" t="s">
        <v>47</v>
      </c>
    </row>
    <row r="7" ht="15.0" customHeight="1">
      <c r="A7" s="39" t="s">
        <v>48</v>
      </c>
      <c r="B7" s="40" t="s">
        <v>49</v>
      </c>
      <c r="C7" s="40" t="s">
        <v>50</v>
      </c>
      <c r="D7" s="41" t="s">
        <v>51</v>
      </c>
    </row>
    <row r="8" ht="14.25" customHeight="1">
      <c r="A8" s="42">
        <v>1.0</v>
      </c>
      <c r="B8" s="43" t="s">
        <v>52</v>
      </c>
      <c r="C8" s="44" t="s">
        <v>53</v>
      </c>
      <c r="D8" s="45"/>
    </row>
    <row r="9" ht="14.25" customHeight="1">
      <c r="A9" s="42">
        <v>2.0</v>
      </c>
      <c r="B9" s="43" t="s">
        <v>54</v>
      </c>
      <c r="C9" s="46" t="s">
        <v>53</v>
      </c>
      <c r="D9" s="44"/>
    </row>
    <row r="10" ht="14.25" customHeight="1">
      <c r="A10" s="42">
        <v>3.0</v>
      </c>
      <c r="B10" s="43" t="s">
        <v>55</v>
      </c>
      <c r="C10" s="44" t="s">
        <v>53</v>
      </c>
      <c r="D10" s="45"/>
    </row>
    <row r="11" ht="14.25" customHeight="1">
      <c r="A11" s="42">
        <v>4.0</v>
      </c>
      <c r="B11" s="43" t="s">
        <v>56</v>
      </c>
      <c r="C11" s="44" t="s">
        <v>53</v>
      </c>
      <c r="D11" s="45"/>
    </row>
    <row r="12" ht="14.25" customHeight="1">
      <c r="A12" s="42">
        <v>5.0</v>
      </c>
      <c r="B12" s="43" t="s">
        <v>57</v>
      </c>
      <c r="C12" s="44" t="s">
        <v>53</v>
      </c>
      <c r="D12" s="45"/>
    </row>
    <row r="13" ht="14.25" customHeight="1">
      <c r="A13" s="42">
        <v>6.0</v>
      </c>
      <c r="B13" s="43" t="s">
        <v>58</v>
      </c>
      <c r="C13" s="44" t="s">
        <v>53</v>
      </c>
      <c r="D13" s="45"/>
    </row>
    <row r="14" ht="14.25" customHeight="1">
      <c r="A14" s="42">
        <v>7.0</v>
      </c>
      <c r="B14" s="43" t="s">
        <v>59</v>
      </c>
      <c r="C14" s="47" t="s">
        <v>60</v>
      </c>
      <c r="D14" s="44"/>
    </row>
    <row r="15" ht="14.25" customHeight="1">
      <c r="A15" s="42">
        <v>8.0</v>
      </c>
      <c r="B15" s="43" t="s">
        <v>61</v>
      </c>
      <c r="C15" s="44" t="s">
        <v>53</v>
      </c>
      <c r="D15" s="45"/>
    </row>
    <row r="16" ht="14.25" customHeight="1">
      <c r="A16" s="48">
        <v>9.0</v>
      </c>
      <c r="B16" s="49" t="s">
        <v>62</v>
      </c>
      <c r="C16" s="50"/>
      <c r="D16" s="50" t="s">
        <v>53</v>
      </c>
    </row>
    <row r="17" ht="14.25" customHeight="1">
      <c r="A17" s="51" t="s">
        <v>63</v>
      </c>
      <c r="C17" s="21">
        <f>COUNTA('MODELO LISTA DE COMPROBACION 2'!$C$8:$C$16)</f>
        <v>8</v>
      </c>
      <c r="D17" s="21">
        <f>COUNTA('MODELO LISTA DE COMPROBACION 2'!$D$8:$D$16)</f>
        <v>1</v>
      </c>
    </row>
    <row r="18" ht="14.25" customHeight="1">
      <c r="A18" s="51" t="s">
        <v>64</v>
      </c>
      <c r="C18" s="52">
        <f t="shared" ref="C18:D18" si="1">C17/9</f>
        <v>0.8888888889</v>
      </c>
      <c r="D18" s="52">
        <f t="shared" si="1"/>
        <v>0.1111111111</v>
      </c>
    </row>
    <row r="19" ht="14.25" customHeight="1">
      <c r="A19" s="51"/>
      <c r="B19" s="51"/>
      <c r="C19" s="52"/>
      <c r="D19" s="21"/>
    </row>
    <row r="20" ht="14.25" customHeight="1">
      <c r="A20" s="53" t="s">
        <v>65</v>
      </c>
      <c r="B20" s="54"/>
      <c r="C20" s="54"/>
      <c r="D20" s="54"/>
    </row>
    <row r="21" ht="14.25" customHeight="1">
      <c r="A21" s="55" t="s">
        <v>48</v>
      </c>
      <c r="B21" s="56" t="s">
        <v>49</v>
      </c>
      <c r="C21" s="57" t="s">
        <v>50</v>
      </c>
      <c r="D21" s="58" t="s">
        <v>51</v>
      </c>
    </row>
    <row r="22" ht="14.25" customHeight="1">
      <c r="A22" s="42">
        <v>1.0</v>
      </c>
      <c r="B22" s="43" t="s">
        <v>66</v>
      </c>
      <c r="C22" s="50" t="s">
        <v>53</v>
      </c>
      <c r="D22" s="45"/>
    </row>
    <row r="23" ht="14.25" customHeight="1">
      <c r="A23" s="42">
        <v>2.0</v>
      </c>
      <c r="B23" s="43" t="s">
        <v>67</v>
      </c>
      <c r="C23" s="50" t="s">
        <v>53</v>
      </c>
      <c r="D23" s="45"/>
    </row>
    <row r="24" ht="14.25" customHeight="1">
      <c r="A24" s="42">
        <v>3.0</v>
      </c>
      <c r="B24" s="43" t="s">
        <v>68</v>
      </c>
      <c r="C24" s="50" t="s">
        <v>53</v>
      </c>
      <c r="D24" s="45"/>
    </row>
    <row r="25" ht="14.25" customHeight="1">
      <c r="A25" s="42">
        <v>4.0</v>
      </c>
      <c r="B25" s="43" t="s">
        <v>69</v>
      </c>
      <c r="C25" s="50"/>
      <c r="D25" s="46" t="s">
        <v>53</v>
      </c>
    </row>
    <row r="26" ht="14.25" customHeight="1">
      <c r="A26" s="48">
        <v>5.0</v>
      </c>
      <c r="B26" s="49" t="s">
        <v>70</v>
      </c>
      <c r="C26" s="50" t="s">
        <v>53</v>
      </c>
      <c r="D26" s="59"/>
    </row>
    <row r="27" ht="14.25" customHeight="1">
      <c r="A27" s="51" t="s">
        <v>63</v>
      </c>
      <c r="C27" s="21">
        <f>COUNTA('MODELO LISTA DE COMPROBACION 2'!$C$22:$C$26)</f>
        <v>4</v>
      </c>
      <c r="D27" s="21">
        <f>COUNTA('MODELO LISTA DE COMPROBACION 2'!$D$22:$D$26)</f>
        <v>1</v>
      </c>
    </row>
    <row r="28" ht="14.25" customHeight="1">
      <c r="A28" s="51" t="s">
        <v>64</v>
      </c>
      <c r="C28" s="52">
        <f t="shared" ref="C28:D28" si="2">C27/5</f>
        <v>0.8</v>
      </c>
      <c r="D28" s="52">
        <f t="shared" si="2"/>
        <v>0.2</v>
      </c>
    </row>
    <row r="29" ht="14.25" customHeight="1">
      <c r="A29" s="51"/>
      <c r="B29" s="51"/>
      <c r="C29" s="52"/>
      <c r="D29" s="21"/>
    </row>
    <row r="30" ht="14.25" customHeight="1">
      <c r="A30" s="37" t="s">
        <v>71</v>
      </c>
    </row>
    <row r="31" ht="14.25" customHeight="1">
      <c r="A31" s="55" t="s">
        <v>48</v>
      </c>
      <c r="B31" s="56" t="s">
        <v>49</v>
      </c>
      <c r="C31" s="57" t="s">
        <v>50</v>
      </c>
      <c r="D31" s="58" t="s">
        <v>51</v>
      </c>
    </row>
    <row r="32" ht="14.25" customHeight="1">
      <c r="A32" s="42">
        <v>1.0</v>
      </c>
      <c r="B32" s="43" t="s">
        <v>72</v>
      </c>
      <c r="C32" s="50"/>
      <c r="D32" s="60" t="s">
        <v>73</v>
      </c>
    </row>
    <row r="33" ht="14.25" customHeight="1">
      <c r="A33" s="42">
        <v>2.0</v>
      </c>
      <c r="B33" s="43" t="s">
        <v>74</v>
      </c>
      <c r="C33" s="50"/>
      <c r="D33" s="60" t="s">
        <v>73</v>
      </c>
    </row>
    <row r="34" ht="14.25" customHeight="1">
      <c r="A34" s="48">
        <v>3.0</v>
      </c>
      <c r="B34" s="49" t="s">
        <v>75</v>
      </c>
      <c r="C34" s="50" t="s">
        <v>53</v>
      </c>
      <c r="D34" s="50"/>
    </row>
    <row r="35" ht="14.25" customHeight="1">
      <c r="A35" s="51" t="s">
        <v>63</v>
      </c>
      <c r="C35" s="21">
        <f>COUNTA('MODELO LISTA DE COMPROBACION 2'!$C$32:$C$34)</f>
        <v>1</v>
      </c>
      <c r="D35" s="21">
        <f>COUNTA('MODELO LISTA DE COMPROBACION 2'!$D$32:$D$34)</f>
        <v>2</v>
      </c>
    </row>
    <row r="36" ht="14.25" customHeight="1">
      <c r="A36" s="51" t="s">
        <v>64</v>
      </c>
      <c r="C36" s="52">
        <f t="shared" ref="C36:D36" si="3">C35/3</f>
        <v>0.3333333333</v>
      </c>
      <c r="D36" s="52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61" t="s">
        <v>76</v>
      </c>
    </row>
    <row r="41" ht="30.0" customHeight="1">
      <c r="B41" s="31" t="s">
        <v>77</v>
      </c>
      <c r="C41" s="21">
        <v>89.0</v>
      </c>
    </row>
    <row r="42" ht="30.0" customHeight="1">
      <c r="B42" s="31" t="s">
        <v>65</v>
      </c>
      <c r="C42" s="21">
        <v>100.0</v>
      </c>
    </row>
    <row r="43" ht="30.0" customHeight="1">
      <c r="B43" s="31" t="s">
        <v>71</v>
      </c>
      <c r="C43" s="21">
        <v>100.0</v>
      </c>
    </row>
    <row r="44" ht="14.25" customHeight="1">
      <c r="C44" s="21"/>
    </row>
    <row r="45" ht="14.25" customHeight="1">
      <c r="C45" s="21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22:D26">
    <cfRule type="containsText" dxfId="15" priority="5" operator="containsText" text="X">
      <formula>NOT(ISERROR(SEARCH(("X"),(C22))))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8:D16 C22:C26 C32:D34">
    <cfRule type="containsText" dxfId="15" priority="7" operator="containsText" text="X">
      <formula>NOT(ISERROR(SEARCH(("X"),(C8))))</formula>
    </cfRule>
  </conditionalFormatting>
  <conditionalFormatting sqref="C32:D34">
    <cfRule type="containsText" dxfId="15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6.29"/>
    <col customWidth="1" min="3" max="3" width="16.14"/>
    <col customWidth="1" min="4" max="4" width="21.14"/>
    <col customWidth="1" min="5" max="24" width="10.71"/>
  </cols>
  <sheetData>
    <row r="1" ht="51.0" customHeight="1">
      <c r="A1" s="31"/>
      <c r="B1" s="32" t="s">
        <v>1</v>
      </c>
      <c r="C1" s="33" t="s">
        <v>2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30.0" customHeight="1">
      <c r="B2" s="34" t="s">
        <v>42</v>
      </c>
      <c r="C2" s="35">
        <v>46227.0</v>
      </c>
    </row>
    <row r="3" ht="21.0" customHeight="1">
      <c r="B3" s="34" t="s">
        <v>43</v>
      </c>
      <c r="C3" s="36" t="s">
        <v>93</v>
      </c>
    </row>
    <row r="4" ht="14.25" customHeight="1">
      <c r="B4" s="34" t="s">
        <v>45</v>
      </c>
      <c r="C4" s="36" t="s">
        <v>9</v>
      </c>
    </row>
    <row r="5" ht="14.25" customHeight="1"/>
    <row r="6" ht="25.5" customHeight="1">
      <c r="A6" s="37" t="s">
        <v>47</v>
      </c>
    </row>
    <row r="7" ht="15.0" customHeight="1">
      <c r="A7" s="39" t="s">
        <v>48</v>
      </c>
      <c r="B7" s="40" t="s">
        <v>49</v>
      </c>
      <c r="C7" s="40" t="s">
        <v>50</v>
      </c>
      <c r="D7" s="41" t="s">
        <v>51</v>
      </c>
    </row>
    <row r="8" ht="14.25" customHeight="1">
      <c r="A8" s="42">
        <v>1.0</v>
      </c>
      <c r="B8" s="43" t="s">
        <v>52</v>
      </c>
      <c r="C8" s="44" t="s">
        <v>53</v>
      </c>
      <c r="D8" s="45"/>
    </row>
    <row r="9" ht="14.25" customHeight="1">
      <c r="A9" s="42">
        <v>2.0</v>
      </c>
      <c r="B9" s="43" t="s">
        <v>54</v>
      </c>
      <c r="C9" s="44" t="s">
        <v>53</v>
      </c>
      <c r="D9" s="45"/>
    </row>
    <row r="10" ht="14.25" customHeight="1">
      <c r="A10" s="42">
        <v>3.0</v>
      </c>
      <c r="B10" s="43" t="s">
        <v>55</v>
      </c>
      <c r="C10" s="44" t="s">
        <v>53</v>
      </c>
      <c r="D10" s="45"/>
    </row>
    <row r="11" ht="14.25" customHeight="1">
      <c r="A11" s="42">
        <v>4.0</v>
      </c>
      <c r="B11" s="43" t="s">
        <v>56</v>
      </c>
      <c r="C11" s="44" t="s">
        <v>53</v>
      </c>
      <c r="D11" s="45"/>
    </row>
    <row r="12" ht="14.25" customHeight="1">
      <c r="A12" s="42">
        <v>5.0</v>
      </c>
      <c r="B12" s="43" t="s">
        <v>57</v>
      </c>
      <c r="C12" s="44" t="s">
        <v>53</v>
      </c>
      <c r="D12" s="45"/>
    </row>
    <row r="13" ht="14.25" customHeight="1">
      <c r="A13" s="42">
        <v>6.0</v>
      </c>
      <c r="B13" s="43" t="s">
        <v>58</v>
      </c>
      <c r="C13" s="44" t="s">
        <v>53</v>
      </c>
      <c r="D13" s="45"/>
    </row>
    <row r="14" ht="14.25" customHeight="1">
      <c r="A14" s="42">
        <v>7.0</v>
      </c>
      <c r="B14" s="43" t="s">
        <v>59</v>
      </c>
      <c r="C14" s="44"/>
      <c r="D14" s="44" t="s">
        <v>53</v>
      </c>
    </row>
    <row r="15" ht="14.25" customHeight="1">
      <c r="A15" s="42">
        <v>8.0</v>
      </c>
      <c r="B15" s="43" t="s">
        <v>61</v>
      </c>
      <c r="C15" s="44" t="s">
        <v>53</v>
      </c>
      <c r="D15" s="45"/>
    </row>
    <row r="16" ht="14.25" customHeight="1">
      <c r="A16" s="48">
        <v>9.0</v>
      </c>
      <c r="B16" s="49" t="s">
        <v>62</v>
      </c>
      <c r="C16" s="50"/>
      <c r="D16" s="50" t="s">
        <v>53</v>
      </c>
    </row>
    <row r="17" ht="14.25" customHeight="1">
      <c r="A17" s="51" t="s">
        <v>63</v>
      </c>
      <c r="C17" s="21">
        <f>COUNTA('MODELO DE LISTA DE COMPROBACION'!$C$8:$C$16)</f>
        <v>7</v>
      </c>
      <c r="D17" s="21">
        <f>COUNTA('MODELO DE LISTA DE COMPROBACION'!$D$8:$D$16)</f>
        <v>2</v>
      </c>
    </row>
    <row r="18" ht="14.25" customHeight="1">
      <c r="A18" s="51" t="s">
        <v>64</v>
      </c>
      <c r="C18" s="52">
        <f t="shared" ref="C18:D18" si="1">C17/9</f>
        <v>0.7777777778</v>
      </c>
      <c r="D18" s="52">
        <f t="shared" si="1"/>
        <v>0.2222222222</v>
      </c>
    </row>
    <row r="19" ht="14.25" customHeight="1">
      <c r="A19" s="51"/>
      <c r="B19" s="51"/>
      <c r="C19" s="52"/>
      <c r="D19" s="21"/>
    </row>
    <row r="20" ht="29.25" customHeight="1">
      <c r="A20" s="53" t="s">
        <v>65</v>
      </c>
      <c r="B20" s="54"/>
      <c r="C20" s="54"/>
      <c r="D20" s="54"/>
    </row>
    <row r="21" ht="14.25" customHeight="1">
      <c r="A21" s="55" t="s">
        <v>48</v>
      </c>
      <c r="B21" s="56" t="s">
        <v>49</v>
      </c>
      <c r="C21" s="57" t="s">
        <v>50</v>
      </c>
      <c r="D21" s="58" t="s">
        <v>51</v>
      </c>
    </row>
    <row r="22" ht="14.25" customHeight="1">
      <c r="A22" s="42">
        <v>1.0</v>
      </c>
      <c r="B22" s="43" t="s">
        <v>66</v>
      </c>
      <c r="C22" s="50" t="s">
        <v>53</v>
      </c>
      <c r="D22" s="45"/>
    </row>
    <row r="23" ht="14.25" customHeight="1">
      <c r="A23" s="42">
        <v>2.0</v>
      </c>
      <c r="B23" s="43" t="s">
        <v>67</v>
      </c>
      <c r="C23" s="50"/>
      <c r="D23" s="46" t="s">
        <v>73</v>
      </c>
    </row>
    <row r="24" ht="14.25" customHeight="1">
      <c r="A24" s="42">
        <v>3.0</v>
      </c>
      <c r="B24" s="43" t="s">
        <v>68</v>
      </c>
      <c r="C24" s="50" t="s">
        <v>53</v>
      </c>
      <c r="D24" s="45"/>
    </row>
    <row r="25" ht="14.25" customHeight="1">
      <c r="A25" s="42">
        <v>4.0</v>
      </c>
      <c r="B25" s="43" t="s">
        <v>69</v>
      </c>
      <c r="C25" s="50"/>
      <c r="D25" s="46" t="s">
        <v>73</v>
      </c>
    </row>
    <row r="26" ht="14.25" customHeight="1">
      <c r="A26" s="48">
        <v>5.0</v>
      </c>
      <c r="B26" s="49" t="s">
        <v>70</v>
      </c>
      <c r="C26" s="50" t="s">
        <v>53</v>
      </c>
      <c r="D26" s="59"/>
    </row>
    <row r="27" ht="14.25" customHeight="1">
      <c r="A27" s="51" t="s">
        <v>63</v>
      </c>
      <c r="C27" s="21">
        <f>COUNTA('MODELO DE LISTA DE COMPROBACION'!$C$22:$C$26)</f>
        <v>3</v>
      </c>
      <c r="D27" s="21">
        <f>COUNTA('MODELO DE LISTA DE COMPROBACION'!$D$22:$D$26)</f>
        <v>2</v>
      </c>
    </row>
    <row r="28" ht="14.25" customHeight="1">
      <c r="A28" s="51" t="s">
        <v>64</v>
      </c>
      <c r="C28" s="52">
        <f t="shared" ref="C28:D28" si="2">C27/5</f>
        <v>0.6</v>
      </c>
      <c r="D28" s="52">
        <f t="shared" si="2"/>
        <v>0.4</v>
      </c>
    </row>
    <row r="29" ht="14.25" customHeight="1">
      <c r="A29" s="51"/>
      <c r="B29" s="51"/>
      <c r="C29" s="52"/>
      <c r="D29" s="21"/>
    </row>
    <row r="30" ht="14.25" customHeight="1">
      <c r="A30" s="37" t="s">
        <v>71</v>
      </c>
    </row>
    <row r="31" ht="14.25" customHeight="1">
      <c r="A31" s="55" t="s">
        <v>48</v>
      </c>
      <c r="B31" s="56" t="s">
        <v>49</v>
      </c>
      <c r="C31" s="57" t="s">
        <v>50</v>
      </c>
      <c r="D31" s="58" t="s">
        <v>51</v>
      </c>
    </row>
    <row r="32" ht="14.25" customHeight="1">
      <c r="A32" s="42">
        <v>1.0</v>
      </c>
      <c r="B32" s="43" t="s">
        <v>72</v>
      </c>
      <c r="C32" s="60"/>
      <c r="D32" s="60" t="s">
        <v>73</v>
      </c>
    </row>
    <row r="33" ht="14.25" customHeight="1">
      <c r="A33" s="42">
        <v>2.0</v>
      </c>
      <c r="B33" s="43" t="s">
        <v>74</v>
      </c>
      <c r="C33" s="50"/>
      <c r="D33" s="50" t="s">
        <v>53</v>
      </c>
    </row>
    <row r="34" ht="14.25" customHeight="1">
      <c r="A34" s="48">
        <v>3.0</v>
      </c>
      <c r="B34" s="49" t="s">
        <v>75</v>
      </c>
      <c r="C34" s="50" t="s">
        <v>53</v>
      </c>
      <c r="D34" s="50"/>
    </row>
    <row r="35" ht="14.25" customHeight="1">
      <c r="A35" s="51" t="s">
        <v>63</v>
      </c>
      <c r="C35" s="21">
        <f>COUNTA('MODELO DE LISTA DE COMPROBACION'!$C$32:$C$34)</f>
        <v>1</v>
      </c>
      <c r="D35" s="21">
        <f>COUNTA('MODELO DE LISTA DE COMPROBACION'!$D$32:$D$34)</f>
        <v>2</v>
      </c>
    </row>
    <row r="36" ht="14.25" customHeight="1">
      <c r="A36" s="51" t="s">
        <v>64</v>
      </c>
      <c r="C36" s="52">
        <f t="shared" ref="C36:D36" si="3">C35/3</f>
        <v>0.3333333333</v>
      </c>
      <c r="D36" s="52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61" t="s">
        <v>76</v>
      </c>
    </row>
    <row r="41" ht="30.0" customHeight="1">
      <c r="B41" s="31" t="s">
        <v>77</v>
      </c>
      <c r="C41" s="21">
        <v>78.0</v>
      </c>
    </row>
    <row r="42" ht="30.0" customHeight="1">
      <c r="B42" s="31" t="s">
        <v>65</v>
      </c>
      <c r="C42" s="21">
        <v>100.0</v>
      </c>
    </row>
    <row r="43" ht="30.0" customHeight="1">
      <c r="B43" s="31" t="s">
        <v>71</v>
      </c>
      <c r="C43" s="21">
        <v>33.0</v>
      </c>
    </row>
    <row r="44" ht="14.25" customHeight="1">
      <c r="C44" s="21"/>
    </row>
    <row r="45" ht="14.25" customHeight="1">
      <c r="C45" s="21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22:D26">
    <cfRule type="containsText" dxfId="15" priority="5" operator="containsText" text="X">
      <formula>NOT(ISERROR(SEARCH(("X"),(C22))))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8:D16 C22:C26 C32:D34">
    <cfRule type="containsText" dxfId="15" priority="7" operator="containsText" text="X">
      <formula>NOT(ISERROR(SEARCH(("X"),(C8))))</formula>
    </cfRule>
  </conditionalFormatting>
  <conditionalFormatting sqref="C32:D34">
    <cfRule type="containsText" dxfId="15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84.29"/>
    <col customWidth="1" min="3" max="6" width="10.71"/>
  </cols>
  <sheetData>
    <row r="1" ht="14.25" customHeight="1">
      <c r="A1" s="62" t="s">
        <v>80</v>
      </c>
      <c r="B1" s="62" t="s">
        <v>81</v>
      </c>
    </row>
    <row r="2" ht="14.25" customHeight="1">
      <c r="A2" s="63" t="s">
        <v>82</v>
      </c>
      <c r="B2" s="63" t="s">
        <v>83</v>
      </c>
    </row>
    <row r="3" ht="14.25" customHeight="1">
      <c r="A3" s="64" t="s">
        <v>84</v>
      </c>
      <c r="B3" s="63" t="s">
        <v>85</v>
      </c>
    </row>
    <row r="4" ht="14.25" customHeight="1">
      <c r="A4" s="65" t="s">
        <v>86</v>
      </c>
      <c r="B4" s="65" t="s">
        <v>87</v>
      </c>
    </row>
    <row r="5" ht="14.25" customHeight="1"/>
    <row r="6" ht="14.25" customHeight="1">
      <c r="B6" s="65"/>
    </row>
    <row r="7" ht="14.25" customHeight="1"/>
    <row r="8" ht="14.25" customHeight="1">
      <c r="B8" s="65"/>
    </row>
    <row r="9" ht="14.25" customHeight="1"/>
    <row r="10" ht="14.25" customHeight="1">
      <c r="B10" s="6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57.29"/>
    <col customWidth="1" min="3" max="6" width="10.71"/>
  </cols>
  <sheetData>
    <row r="1" ht="14.25" customHeight="1">
      <c r="A1" s="62" t="s">
        <v>80</v>
      </c>
      <c r="B1" s="62" t="s">
        <v>81</v>
      </c>
    </row>
    <row r="2" ht="14.25" customHeight="1">
      <c r="A2" s="64" t="s">
        <v>89</v>
      </c>
      <c r="B2" s="63" t="s">
        <v>90</v>
      </c>
    </row>
    <row r="3" ht="14.25" customHeight="1">
      <c r="A3" s="66" t="s">
        <v>91</v>
      </c>
      <c r="B3" s="67" t="s">
        <v>92</v>
      </c>
    </row>
    <row r="4" ht="14.25" customHeight="1">
      <c r="A4" s="66" t="s">
        <v>94</v>
      </c>
      <c r="B4" s="63" t="s">
        <v>95</v>
      </c>
    </row>
    <row r="5" ht="14.25" customHeight="1">
      <c r="A5" s="66" t="s">
        <v>96</v>
      </c>
      <c r="B5" s="63" t="s">
        <v>97</v>
      </c>
    </row>
    <row r="6" ht="14.25" customHeight="1">
      <c r="A6" s="66" t="s">
        <v>98</v>
      </c>
      <c r="B6" s="63" t="s">
        <v>99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86"/>
    <col customWidth="1" min="2" max="2" width="105.29"/>
    <col customWidth="1" min="3" max="6" width="10.71"/>
  </cols>
  <sheetData>
    <row r="1" ht="14.25" customHeight="1">
      <c r="A1" s="62"/>
      <c r="B1" s="62"/>
    </row>
    <row r="2" ht="14.25" customHeight="1">
      <c r="A2" s="68" t="s">
        <v>100</v>
      </c>
      <c r="B2" s="66" t="s">
        <v>101</v>
      </c>
    </row>
    <row r="3" ht="14.25" customHeight="1">
      <c r="A3" s="68" t="s">
        <v>102</v>
      </c>
      <c r="B3" s="63" t="s">
        <v>103</v>
      </c>
    </row>
    <row r="4" ht="14.25" customHeight="1">
      <c r="A4" s="68" t="s">
        <v>104</v>
      </c>
      <c r="B4" s="63" t="s">
        <v>105</v>
      </c>
    </row>
    <row r="5" ht="14.25" customHeight="1">
      <c r="A5" s="66" t="s">
        <v>106</v>
      </c>
      <c r="B5" s="63" t="s">
        <v>107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